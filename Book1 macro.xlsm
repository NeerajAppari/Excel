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slicers/slicer1.xml" ContentType="application/vnd.ms-excel.slicer+xml"/>
  <Override PartName="/xl/charts/chart4.xml" ContentType="application/vnd.openxmlformats-officedocument.drawingml.chart+xml"/>
  <Override PartName="/xl/pivotTables/pivotTable4.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0" yWindow="108" windowWidth="22980" windowHeight="9288" activeTab="2"/>
  </bookViews>
  <sheets>
    <sheet name="Sheet1" sheetId="1" r:id="rId1"/>
    <sheet name="Sheet2" sheetId="2" r:id="rId2"/>
    <sheet name="Sheet5" sheetId="6" r:id="rId3"/>
    <sheet name="Sheet3" sheetId="3" r:id="rId4"/>
    <sheet name="Sheet4" sheetId="7" r:id="rId5"/>
    <sheet name="Sheet6" sheetId="8" r:id="rId6"/>
  </sheets>
  <definedNames>
    <definedName name="Slicer_Brand">#N/A</definedName>
    <definedName name="Slicer_Car">#N/A</definedName>
    <definedName name="Slicer_id">#N/A</definedName>
    <definedName name="Slicer_id1">#N/A</definedName>
    <definedName name="Slicer_Name">#N/A</definedName>
    <definedName name="Slicer_name1">#N/A</definedName>
    <definedName name="Slicer_Price">#N/A</definedName>
    <definedName name="Slicer_salary">#N/A</definedName>
    <definedName name="Slicer_salary1">#N/A</definedName>
    <definedName name="Slicer_Year">#N/A</definedName>
  </definedNames>
  <calcPr calcId="144525"/>
  <pivotCaches>
    <pivotCache cacheId="16" r:id="rId7"/>
    <pivotCache cacheId="17" r:id="rId8"/>
    <pivotCache cacheId="18" r:id="rId9"/>
    <pivotCache cacheId="19" r:id="rId10"/>
  </pivotCaches>
  <extLst>
    <ext xmlns:x14="http://schemas.microsoft.com/office/spreadsheetml/2009/9/main" uri="{BBE1A952-AA13-448e-AADC-164F8A28A991}">
      <x14:slicerCaches>
        <x14:slicerCache r:id="rId11"/>
        <x14:slicerCache r:id="rId12"/>
        <x14:slicerCache r:id="rId13"/>
        <x14:slicerCache r:id="rId14"/>
        <x14:slicerCache r:id="rId15"/>
        <x14:slicerCache r:id="rId16"/>
        <x14:slicerCache r:id="rId17"/>
        <x14:slicerCache r:id="rId18"/>
        <x14:slicerCache r:id="rId19"/>
        <x14:slicerCache r:id="rId20"/>
      </x14:slicerCaches>
    </ext>
    <ext xmlns:x14="http://schemas.microsoft.com/office/spreadsheetml/2009/9/main" uri="{79F54976-1DA5-4618-B147-4CDE4B953A38}">
      <x14:workbookPr/>
    </ext>
  </extLst>
</workbook>
</file>

<file path=xl/calcChain.xml><?xml version="1.0" encoding="utf-8"?>
<calcChain xmlns="http://schemas.openxmlformats.org/spreadsheetml/2006/main">
  <c r="G18" i="2" l="1"/>
  <c r="G3" i="3" l="1"/>
  <c r="G4" i="3"/>
  <c r="G5" i="3"/>
  <c r="G2" i="3"/>
  <c r="F3" i="3"/>
  <c r="F4" i="3"/>
  <c r="F5" i="3"/>
  <c r="G14" i="2"/>
  <c r="G10" i="2"/>
  <c r="Q24" i="1" l="1"/>
  <c r="Q23" i="1"/>
</calcChain>
</file>

<file path=xl/sharedStrings.xml><?xml version="1.0" encoding="utf-8"?>
<sst xmlns="http://schemas.openxmlformats.org/spreadsheetml/2006/main" count="326" uniqueCount="169">
  <si>
    <t>rahul</t>
  </si>
  <si>
    <t>yash</t>
  </si>
  <si>
    <t>saeel</t>
  </si>
  <si>
    <t>om</t>
  </si>
  <si>
    <t>A</t>
  </si>
  <si>
    <t>B</t>
  </si>
  <si>
    <t>C</t>
  </si>
  <si>
    <t>D</t>
  </si>
  <si>
    <t>E</t>
  </si>
  <si>
    <t>Row Labels</t>
  </si>
  <si>
    <t>Grand Total</t>
  </si>
  <si>
    <t>Sum of sr</t>
  </si>
  <si>
    <t>Sum of date</t>
  </si>
  <si>
    <t>Column Labels</t>
  </si>
  <si>
    <t>Total Sum of sr</t>
  </si>
  <si>
    <t>Total Sum of date</t>
  </si>
  <si>
    <t>Aplha</t>
  </si>
  <si>
    <t>Number</t>
  </si>
  <si>
    <t>FR</t>
  </si>
  <si>
    <t>gr</t>
  </si>
  <si>
    <t>name</t>
  </si>
  <si>
    <t>id</t>
  </si>
  <si>
    <t>salary</t>
  </si>
  <si>
    <t>empname</t>
  </si>
  <si>
    <t>Vlookup</t>
  </si>
  <si>
    <t>Vertical table</t>
  </si>
  <si>
    <t>Horizontal table</t>
  </si>
  <si>
    <t>Hlookup</t>
  </si>
  <si>
    <t>upid</t>
  </si>
  <si>
    <t>Xlookup</t>
  </si>
  <si>
    <t>Name</t>
  </si>
  <si>
    <t>ctrl + t to convert data into table</t>
  </si>
  <si>
    <t>(All)</t>
  </si>
  <si>
    <t>Sum of salary</t>
  </si>
  <si>
    <t>to add slicer first create pivot table</t>
  </si>
  <si>
    <t>Expenses</t>
  </si>
  <si>
    <t>Bonus</t>
  </si>
  <si>
    <t>Total Sum</t>
  </si>
  <si>
    <t>Press '=' before typing tyhings like sum ,vlookup etc</t>
  </si>
  <si>
    <t>Total Sum 2</t>
  </si>
  <si>
    <t>Year</t>
  </si>
  <si>
    <t>Height</t>
  </si>
  <si>
    <t>Weight</t>
  </si>
  <si>
    <t>Car</t>
  </si>
  <si>
    <t>Turismo</t>
  </si>
  <si>
    <t>Zenterno</t>
  </si>
  <si>
    <t>Visione</t>
  </si>
  <si>
    <t>Buffalo</t>
  </si>
  <si>
    <t>Dominator</t>
  </si>
  <si>
    <t>Vigero</t>
  </si>
  <si>
    <t>Super Daimond</t>
  </si>
  <si>
    <t>XA21</t>
  </si>
  <si>
    <t>Virtue</t>
  </si>
  <si>
    <t>Monroe</t>
  </si>
  <si>
    <t>Weevil</t>
  </si>
  <si>
    <t>Gauntlet</t>
  </si>
  <si>
    <t>Comet</t>
  </si>
  <si>
    <t>Adder</t>
  </si>
  <si>
    <t>Nero</t>
  </si>
  <si>
    <t>Bison</t>
  </si>
  <si>
    <t>F620</t>
  </si>
  <si>
    <t>Rapid GT</t>
  </si>
  <si>
    <t>Brand</t>
  </si>
  <si>
    <t>Grotti</t>
  </si>
  <si>
    <t>Peggasi</t>
  </si>
  <si>
    <t>Bravado</t>
  </si>
  <si>
    <t>Vapid</t>
  </si>
  <si>
    <t>Declasse</t>
  </si>
  <si>
    <t>Enus</t>
  </si>
  <si>
    <t>Ocelot</t>
  </si>
  <si>
    <t>BF</t>
  </si>
  <si>
    <t>Pfister</t>
  </si>
  <si>
    <t>Truffade</t>
  </si>
  <si>
    <t>Price</t>
  </si>
  <si>
    <t>Sum of Price</t>
  </si>
  <si>
    <t>Overall Position (Lap Time)</t>
  </si>
  <si>
    <t>Class</t>
  </si>
  <si>
    <t>Vehicle</t>
  </si>
  <si>
    <t>Planes</t>
  </si>
  <si>
    <t>Alpha-Z1</t>
  </si>
  <si>
    <t>Howard NX-25</t>
  </si>
  <si>
    <t>Pyro</t>
  </si>
  <si>
    <t>Hydra</t>
  </si>
  <si>
    <t>Rogue</t>
  </si>
  <si>
    <t>V-65 Molotok</t>
  </si>
  <si>
    <t>P-45 Nokota</t>
  </si>
  <si>
    <t>P-996 Lazer</t>
  </si>
  <si>
    <t>Besra</t>
  </si>
  <si>
    <t>Seabreeze</t>
  </si>
  <si>
    <t>Avenger</t>
  </si>
  <si>
    <t>Vestra</t>
  </si>
  <si>
    <t>LF-22 Starling</t>
  </si>
  <si>
    <t>Mogul</t>
  </si>
  <si>
    <t>B-11 Strikeforce</t>
  </si>
  <si>
    <t>Nimbus</t>
  </si>
  <si>
    <t>Luxor Deluxe</t>
  </si>
  <si>
    <t>Luxor</t>
  </si>
  <si>
    <t>Mallard</t>
  </si>
  <si>
    <t>Tula</t>
  </si>
  <si>
    <t>Shamal</t>
  </si>
  <si>
    <t>Miljet</t>
  </si>
  <si>
    <t>Cuban 800</t>
  </si>
  <si>
    <t>Overall Position (Top Speed)</t>
  </si>
  <si>
    <t>Helicopters</t>
  </si>
  <si>
    <t>Sparrow</t>
  </si>
  <si>
    <t>RO-86 Alkonost</t>
  </si>
  <si>
    <t>Volatol</t>
  </si>
  <si>
    <t>Motorcycles</t>
  </si>
  <si>
    <t>Reever</t>
  </si>
  <si>
    <t>Volatus</t>
  </si>
  <si>
    <t>go to options then customize ribbons to add developer optioon then record macro and stop then run</t>
  </si>
  <si>
    <t>message box vba</t>
  </si>
  <si>
    <t>Sub mess()</t>
  </si>
  <si>
    <t>MsgBox ("Welcome")</t>
  </si>
  <si>
    <t>End Sub</t>
  </si>
  <si>
    <t>To show a particular value of cell</t>
  </si>
  <si>
    <t>MsgBox ("Value is " &amp; Range("A20").Value)</t>
  </si>
  <si>
    <t>Hello</t>
  </si>
  <si>
    <t>To automatically type on displayed cell</t>
  </si>
  <si>
    <t>Dim a As String</t>
  </si>
  <si>
    <t>a = "Hello"</t>
  </si>
  <si>
    <t>ActiveCell.Value = a</t>
  </si>
  <si>
    <t>To type a number(Change type from integer to "string,double,date etc fro various inputs")</t>
  </si>
  <si>
    <t>Dim x As Integer</t>
  </si>
  <si>
    <t>x = 5000</t>
  </si>
  <si>
    <t>Range("E5") = x</t>
  </si>
  <si>
    <t>type a value in much simpler than above</t>
  </si>
  <si>
    <t>Range("H1").Value = 500</t>
  </si>
  <si>
    <t>Range("I1:I6").Value = 600</t>
  </si>
  <si>
    <t>Cells(3, 10).Value = 10</t>
  </si>
  <si>
    <t>Dim example As Range</t>
  </si>
  <si>
    <t>Set example = Range("K2:M4")</t>
  </si>
  <si>
    <t>example.Value = (250)</t>
  </si>
  <si>
    <t>To give values in a series of range</t>
  </si>
  <si>
    <t>#example.select - (to select a value)</t>
  </si>
  <si>
    <t>To set value in different sheet</t>
  </si>
  <si>
    <t>Worksheets(2).Activate</t>
  </si>
  <si>
    <t>Worksheets(2).Range("A25:C27").Value = (250)</t>
  </si>
  <si>
    <t>Copy and paste</t>
  </si>
  <si>
    <t>Range("K2:M4").Select</t>
  </si>
  <si>
    <t>Selection.Copy</t>
  </si>
  <si>
    <t>Range("A29").Select</t>
  </si>
  <si>
    <t>ActiveSheet.Paste</t>
  </si>
  <si>
    <t>Gives Count</t>
  </si>
  <si>
    <t>MsgBox example.Count</t>
  </si>
  <si>
    <t>#MsgBox (example.column.Count) or rows for count</t>
  </si>
  <si>
    <t>Pass</t>
  </si>
  <si>
    <t>Sub ifstate()</t>
  </si>
  <si>
    <t>Dim score As Integer, result As String</t>
  </si>
  <si>
    <t>score = Range("E2").Value</t>
  </si>
  <si>
    <t>If score &gt; 60 Then result = ("Pass")</t>
  </si>
  <si>
    <t>Range("F2").Value = result</t>
  </si>
  <si>
    <t>Recorded Macro</t>
  </si>
  <si>
    <t>If statement</t>
  </si>
  <si>
    <t>Fail</t>
  </si>
  <si>
    <t>with else</t>
  </si>
  <si>
    <t>If score &gt; 60 Then</t>
  </si>
  <si>
    <t>result = ("Pass")</t>
  </si>
  <si>
    <t>Else:</t>
  </si>
  <si>
    <t>result = ("Fail")</t>
  </si>
  <si>
    <t>End If</t>
  </si>
  <si>
    <t>For loop</t>
  </si>
  <si>
    <t>Sub loopa()</t>
  </si>
  <si>
    <t>For x = 1 To 5</t>
  </si>
  <si>
    <t>Range("I" &amp; x).Value = x</t>
  </si>
  <si>
    <t>Next x</t>
  </si>
  <si>
    <t>250</t>
  </si>
  <si>
    <t>2502</t>
  </si>
  <si>
    <t>2503</t>
  </si>
</sst>
</file>

<file path=xl/styles.xml><?xml version="1.0" encoding="utf-8"?>
<styleSheet xmlns="http://schemas.openxmlformats.org/spreadsheetml/2006/main" xmlns:mc="http://schemas.openxmlformats.org/markup-compatibility/2006" xmlns:x14ac="http://schemas.microsoft.com/office/spreadsheetml/2009/9/ac" mc:Ignorable="x14ac">
  <fonts count="8">
    <font>
      <sz val="11"/>
      <color theme="1"/>
      <name val="Calibri"/>
      <family val="2"/>
      <scheme val="minor"/>
    </font>
    <font>
      <sz val="11"/>
      <color theme="0"/>
      <name val="Calibri"/>
      <family val="2"/>
      <scheme val="minor"/>
    </font>
    <font>
      <sz val="10"/>
      <color rgb="FF000000"/>
      <name val="Arial"/>
      <family val="2"/>
    </font>
    <font>
      <sz val="10"/>
      <name val="Proxima Nova"/>
    </font>
    <font>
      <sz val="10"/>
      <color rgb="FF000000"/>
      <name val="Proxima Nova"/>
    </font>
    <font>
      <sz val="10"/>
      <color theme="0"/>
      <name val="Proxima Nova"/>
    </font>
    <font>
      <sz val="10"/>
      <color theme="0"/>
      <name val="Arial"/>
      <family val="2"/>
    </font>
    <font>
      <sz val="10"/>
      <color rgb="FF000000"/>
      <name val="Arial"/>
      <family val="2"/>
    </font>
  </fonts>
  <fills count="4">
    <fill>
      <patternFill patternType="none"/>
    </fill>
    <fill>
      <patternFill patternType="gray125"/>
    </fill>
    <fill>
      <patternFill patternType="solid">
        <fgColor theme="5"/>
        <bgColor indexed="64"/>
      </patternFill>
    </fill>
    <fill>
      <patternFill patternType="solid">
        <fgColor theme="4" tint="-0.499984740745262"/>
        <bgColor indexed="64"/>
      </patternFill>
    </fill>
  </fills>
  <borders count="11">
    <border>
      <left/>
      <right/>
      <top/>
      <bottom/>
      <diagonal/>
    </border>
    <border>
      <left/>
      <right/>
      <top/>
      <bottom style="dotted">
        <color rgb="FF000000"/>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top/>
      <bottom style="hair">
        <color indexed="64"/>
      </bottom>
      <diagonal/>
    </border>
    <border>
      <left/>
      <right/>
      <top/>
      <bottom style="hair">
        <color indexed="64"/>
      </bottom>
      <diagonal/>
    </border>
    <border>
      <left/>
      <right style="hair">
        <color indexed="64"/>
      </right>
      <top/>
      <bottom style="hair">
        <color indexed="64"/>
      </bottom>
      <diagonal/>
    </border>
    <border>
      <left style="hair">
        <color indexed="64"/>
      </left>
      <right/>
      <top/>
      <bottom/>
      <diagonal/>
    </border>
    <border>
      <left/>
      <right/>
      <top style="dotted">
        <color indexed="64"/>
      </top>
      <bottom/>
      <diagonal/>
    </border>
    <border>
      <left/>
      <right/>
      <top/>
      <bottom style="dotted">
        <color indexed="64"/>
      </bottom>
      <diagonal/>
    </border>
  </borders>
  <cellStyleXfs count="3">
    <xf numFmtId="0" fontId="0" fillId="0" borderId="0"/>
    <xf numFmtId="0" fontId="2" fillId="0" borderId="0"/>
    <xf numFmtId="0" fontId="7" fillId="0" borderId="0"/>
  </cellStyleXfs>
  <cellXfs count="40">
    <xf numFmtId="0" fontId="0" fillId="0" borderId="0" xfId="0"/>
    <xf numFmtId="0" fontId="0" fillId="0" borderId="0" xfId="0" applyProtection="1">
      <protection locked="0"/>
    </xf>
    <xf numFmtId="0" fontId="0" fillId="0" borderId="0" xfId="0" applyAlignment="1" applyProtection="1">
      <alignment horizontal="center"/>
      <protection locked="0"/>
    </xf>
    <xf numFmtId="0" fontId="0" fillId="0" borderId="0" xfId="0" pivotButton="1"/>
    <xf numFmtId="0" fontId="0" fillId="0" borderId="0" xfId="0" applyAlignment="1">
      <alignment horizontal="left"/>
    </xf>
    <xf numFmtId="0" fontId="0" fillId="0" borderId="0" xfId="0" applyNumberFormat="1"/>
    <xf numFmtId="20" fontId="0" fillId="0" borderId="0" xfId="0" applyNumberFormat="1"/>
    <xf numFmtId="0" fontId="1" fillId="2" borderId="0" xfId="0" applyFont="1" applyFill="1" applyAlignment="1">
      <alignment horizontal="center"/>
    </xf>
    <xf numFmtId="0" fontId="1" fillId="2" borderId="0" xfId="0" applyFont="1" applyFill="1" applyAlignment="1"/>
    <xf numFmtId="0" fontId="0" fillId="0" borderId="0" xfId="0" applyAlignment="1">
      <alignment horizontal="left" indent="1"/>
    </xf>
    <xf numFmtId="0" fontId="0" fillId="0" borderId="0" xfId="0" applyAlignment="1">
      <alignment horizontal="left" indent="2"/>
    </xf>
    <xf numFmtId="0" fontId="4" fillId="0" borderId="0" xfId="1" applyFont="1" applyAlignment="1">
      <alignment horizontal="center" vertical="center"/>
    </xf>
    <xf numFmtId="0" fontId="4" fillId="0" borderId="1" xfId="1" applyFont="1" applyBorder="1" applyAlignment="1">
      <alignment horizontal="center" vertical="center"/>
    </xf>
    <xf numFmtId="49" fontId="3" fillId="0" borderId="0" xfId="1" applyNumberFormat="1" applyFont="1" applyAlignment="1">
      <alignment horizontal="center" vertical="center"/>
    </xf>
    <xf numFmtId="49" fontId="3" fillId="0" borderId="1" xfId="1" applyNumberFormat="1" applyFont="1" applyBorder="1" applyAlignment="1">
      <alignment horizontal="center" vertical="center"/>
    </xf>
    <xf numFmtId="0" fontId="4" fillId="0" borderId="0" xfId="2" applyFont="1" applyAlignment="1">
      <alignment horizontal="center" vertical="center"/>
    </xf>
    <xf numFmtId="0" fontId="4" fillId="0" borderId="1" xfId="2" applyFont="1" applyBorder="1" applyAlignment="1">
      <alignment horizontal="center" vertical="center"/>
    </xf>
    <xf numFmtId="49" fontId="3" fillId="0" borderId="0" xfId="2" applyNumberFormat="1" applyFont="1" applyAlignment="1">
      <alignment horizontal="center" vertical="center"/>
    </xf>
    <xf numFmtId="49" fontId="3" fillId="0" borderId="1" xfId="2" applyNumberFormat="1" applyFont="1" applyBorder="1" applyAlignment="1">
      <alignment horizontal="center" vertical="center"/>
    </xf>
    <xf numFmtId="0" fontId="4" fillId="0" borderId="0" xfId="1" applyFont="1" applyBorder="1" applyAlignment="1">
      <alignment horizontal="center" vertical="center"/>
    </xf>
    <xf numFmtId="49" fontId="3" fillId="0" borderId="0" xfId="1" applyNumberFormat="1" applyFont="1" applyBorder="1" applyAlignment="1">
      <alignment horizontal="center" vertical="center"/>
    </xf>
    <xf numFmtId="0" fontId="4" fillId="0" borderId="2" xfId="1" applyFont="1" applyBorder="1" applyAlignment="1">
      <alignment horizontal="center" vertical="center"/>
    </xf>
    <xf numFmtId="49" fontId="3" fillId="0" borderId="3" xfId="1" applyNumberFormat="1" applyFont="1" applyBorder="1" applyAlignment="1">
      <alignment horizontal="center" vertical="center"/>
    </xf>
    <xf numFmtId="49" fontId="3" fillId="0" borderId="4" xfId="1" applyNumberFormat="1" applyFont="1" applyBorder="1" applyAlignment="1">
      <alignment horizontal="center" vertical="center"/>
    </xf>
    <xf numFmtId="0" fontId="4" fillId="0" borderId="5" xfId="1" applyFont="1" applyBorder="1" applyAlignment="1">
      <alignment horizontal="center" vertical="center"/>
    </xf>
    <xf numFmtId="49" fontId="3" fillId="0" borderId="6" xfId="1" applyNumberFormat="1" applyFont="1" applyBorder="1" applyAlignment="1">
      <alignment horizontal="center" vertical="center"/>
    </xf>
    <xf numFmtId="49" fontId="3" fillId="0" borderId="7" xfId="1" applyNumberFormat="1" applyFont="1" applyBorder="1" applyAlignment="1">
      <alignment horizontal="center" vertical="center"/>
    </xf>
    <xf numFmtId="0" fontId="0" fillId="0" borderId="8" xfId="0" applyBorder="1"/>
    <xf numFmtId="49" fontId="3" fillId="0" borderId="9" xfId="1" applyNumberFormat="1" applyFont="1" applyBorder="1" applyAlignment="1">
      <alignment horizontal="center" vertical="center"/>
    </xf>
    <xf numFmtId="49" fontId="3" fillId="0" borderId="10" xfId="1" applyNumberFormat="1" applyFont="1" applyBorder="1" applyAlignment="1">
      <alignment horizontal="center" vertical="center"/>
    </xf>
    <xf numFmtId="0" fontId="4" fillId="0" borderId="10" xfId="1" applyFont="1" applyBorder="1" applyAlignment="1">
      <alignment horizontal="center" vertical="center"/>
    </xf>
    <xf numFmtId="0" fontId="0" fillId="0" borderId="0" xfId="0" applyAlignment="1">
      <alignment horizontal="center"/>
    </xf>
    <xf numFmtId="0" fontId="5" fillId="3" borderId="0" xfId="1" applyFont="1" applyFill="1" applyAlignment="1">
      <alignment horizontal="center" vertical="center" wrapText="1"/>
    </xf>
    <xf numFmtId="0" fontId="6" fillId="3" borderId="0" xfId="1" applyFont="1" applyFill="1" applyAlignment="1"/>
    <xf numFmtId="0" fontId="3" fillId="0" borderId="0" xfId="1" applyFont="1" applyAlignment="1">
      <alignment horizontal="center" vertical="center" wrapText="1"/>
    </xf>
    <xf numFmtId="0" fontId="2" fillId="0" borderId="0" xfId="1" applyFont="1" applyAlignment="1"/>
    <xf numFmtId="0" fontId="3" fillId="0" borderId="0" xfId="2" applyFont="1" applyAlignment="1">
      <alignment horizontal="center" vertical="center" wrapText="1"/>
    </xf>
    <xf numFmtId="0" fontId="7" fillId="0" borderId="0" xfId="2" applyFont="1" applyAlignment="1"/>
    <xf numFmtId="0" fontId="5" fillId="3" borderId="0" xfId="2" applyFont="1" applyFill="1" applyAlignment="1">
      <alignment horizontal="center" vertical="center" wrapText="1"/>
    </xf>
    <xf numFmtId="0" fontId="6" fillId="3" borderId="0" xfId="2" applyFont="1" applyFill="1" applyAlignment="1"/>
  </cellXfs>
  <cellStyles count="3">
    <cellStyle name="Normal" xfId="0" builtinId="0"/>
    <cellStyle name="Normal 2" xfId="1"/>
    <cellStyle name="Normal 3"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microsoft.com/office/2007/relationships/slicerCache" Target="slicerCaches/slicerCache3.xml"/><Relationship Id="rId18" Type="http://schemas.microsoft.com/office/2007/relationships/slicerCache" Target="slicerCaches/slicerCache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pivotCacheDefinition" Target="pivotCache/pivotCacheDefinition1.xml"/><Relationship Id="rId12" Type="http://schemas.microsoft.com/office/2007/relationships/slicerCache" Target="slicerCaches/slicerCache2.xml"/><Relationship Id="rId17" Type="http://schemas.microsoft.com/office/2007/relationships/slicerCache" Target="slicerCaches/slicerCache7.xml"/><Relationship Id="rId25" Type="http://schemas.microsoft.com/office/2006/relationships/vbaProject" Target="vbaProject.bin"/><Relationship Id="rId2" Type="http://schemas.openxmlformats.org/officeDocument/2006/relationships/worksheet" Target="worksheets/sheet2.xml"/><Relationship Id="rId16" Type="http://schemas.microsoft.com/office/2007/relationships/slicerCache" Target="slicerCaches/slicerCache6.xml"/><Relationship Id="rId20" Type="http://schemas.microsoft.com/office/2007/relationships/slicerCache" Target="slicerCaches/slicerCache10.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24" Type="http://schemas.openxmlformats.org/officeDocument/2006/relationships/calcChain" Target="calcChain.xml"/><Relationship Id="rId5" Type="http://schemas.openxmlformats.org/officeDocument/2006/relationships/worksheet" Target="worksheets/sheet5.xml"/><Relationship Id="rId15" Type="http://schemas.microsoft.com/office/2007/relationships/slicerCache" Target="slicerCaches/slicerCache5.xml"/><Relationship Id="rId23" Type="http://schemas.openxmlformats.org/officeDocument/2006/relationships/sharedStrings" Target="sharedStrings.xml"/><Relationship Id="rId10" Type="http://schemas.openxmlformats.org/officeDocument/2006/relationships/pivotCacheDefinition" Target="pivotCache/pivotCacheDefinition4.xml"/><Relationship Id="rId19" Type="http://schemas.microsoft.com/office/2007/relationships/slicerCache" Target="slicerCaches/slicerCache9.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microsoft.com/office/2007/relationships/slicerCache" Target="slicerCaches/slicerCache4.xml"/><Relationship Id="rId22"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30"/>
    </mc:Choice>
    <mc:Fallback>
      <c:style val="30"/>
    </mc:Fallback>
  </mc:AlternateContent>
  <c:chart>
    <c:title>
      <c:layout>
        <c:manualLayout>
          <c:xMode val="edge"/>
          <c:yMode val="edge"/>
          <c:x val="1.2707786526684275E-3"/>
          <c:y val="0.125"/>
        </c:manualLayout>
      </c:layout>
      <c:overlay val="0"/>
    </c:title>
    <c:autoTitleDeleted val="0"/>
    <c:view3D>
      <c:rotX val="30"/>
      <c:rotY val="330"/>
      <c:rAngAx val="1"/>
    </c:view3D>
    <c:floor>
      <c:thickness val="0"/>
    </c:floor>
    <c:sideWall>
      <c:thickness val="0"/>
    </c:sideWall>
    <c:backWall>
      <c:thickness val="0"/>
    </c:backWall>
    <c:plotArea>
      <c:layout/>
      <c:pie3DChart>
        <c:varyColors val="1"/>
        <c:ser>
          <c:idx val="0"/>
          <c:order val="0"/>
          <c:tx>
            <c:strRef>
              <c:f>Sheet1!$J$1</c:f>
              <c:strCache>
                <c:ptCount val="1"/>
              </c:strCache>
            </c:strRef>
          </c:tx>
          <c:dPt>
            <c:idx val="0"/>
            <c:bubble3D val="0"/>
            <c:spPr>
              <a:solidFill>
                <a:schemeClr val="tx2">
                  <a:lumMod val="40000"/>
                  <a:lumOff val="60000"/>
                </a:schemeClr>
              </a:solidFill>
              <a:ln>
                <a:solidFill>
                  <a:srgbClr val="92D050"/>
                </a:solidFill>
              </a:ln>
              <a:scene3d>
                <a:camera prst="orthographicFront"/>
                <a:lightRig rig="threePt" dir="t">
                  <a:rot lat="0" lon="0" rev="1200000"/>
                </a:lightRig>
              </a:scene3d>
              <a:sp3d>
                <a:bevelT w="63500" h="25400" prst="relaxedInset"/>
                <a:contourClr>
                  <a:srgbClr val="000000"/>
                </a:contourClr>
              </a:sp3d>
            </c:spPr>
          </c:dPt>
          <c:dPt>
            <c:idx val="1"/>
            <c:bubble3D val="0"/>
            <c:spPr>
              <a:ln w="76200"/>
            </c:spPr>
          </c:dPt>
          <c:dPt>
            <c:idx val="3"/>
            <c:bubble3D val="0"/>
            <c:spPr>
              <a:solidFill>
                <a:srgbClr val="00B050"/>
              </a:solidFill>
            </c:spPr>
          </c:dPt>
          <c:dLbls>
            <c:dLblPos val="ctr"/>
            <c:showLegendKey val="0"/>
            <c:showVal val="1"/>
            <c:showCatName val="0"/>
            <c:showSerName val="0"/>
            <c:showPercent val="0"/>
            <c:showBubbleSize val="0"/>
            <c:showLeaderLines val="1"/>
          </c:dLbls>
          <c:cat>
            <c:numRef>
              <c:f>Sheet1!$I$2:$I$6</c:f>
              <c:numCache>
                <c:formatCode>General</c:formatCode>
                <c:ptCount val="5"/>
                <c:pt idx="1">
                  <c:v>1124</c:v>
                </c:pt>
              </c:numCache>
            </c:numRef>
          </c:cat>
          <c:val>
            <c:numRef>
              <c:f>Sheet1!$J$2:$J$6</c:f>
              <c:numCache>
                <c:formatCode>General</c:formatCode>
                <c:ptCount val="5"/>
                <c:pt idx="0">
                  <c:v>0</c:v>
                </c:pt>
                <c:pt idx="2">
                  <c:v>4</c:v>
                </c:pt>
                <c:pt idx="3">
                  <c:v>1</c:v>
                </c:pt>
                <c:pt idx="4">
                  <c:v>3</c:v>
                </c:pt>
              </c:numCache>
            </c:numRef>
          </c:val>
        </c:ser>
        <c:dLbls>
          <c:dLblPos val="outEnd"/>
          <c:showLegendKey val="0"/>
          <c:showVal val="1"/>
          <c:showCatName val="0"/>
          <c:showSerName val="0"/>
          <c:showPercent val="0"/>
          <c:showBubbleSize val="0"/>
          <c:showLeaderLines val="1"/>
        </c:dLbls>
      </c:pie3D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col"/>
        <c:grouping val="clustered"/>
        <c:varyColors val="0"/>
        <c:ser>
          <c:idx val="1"/>
          <c:order val="0"/>
          <c:tx>
            <c:strRef>
              <c:f>Sheet1!$J$1</c:f>
              <c:strCache>
                <c:ptCount val="1"/>
              </c:strCache>
            </c:strRef>
          </c:tx>
          <c:invertIfNegative val="0"/>
          <c:cat>
            <c:numRef>
              <c:f>Sheet1!$I$2:$I$6</c:f>
              <c:numCache>
                <c:formatCode>General</c:formatCode>
                <c:ptCount val="5"/>
                <c:pt idx="1">
                  <c:v>1124</c:v>
                </c:pt>
              </c:numCache>
            </c:numRef>
          </c:cat>
          <c:val>
            <c:numRef>
              <c:f>Sheet1!$J$2:$J$7</c:f>
              <c:numCache>
                <c:formatCode>General</c:formatCode>
                <c:ptCount val="6"/>
                <c:pt idx="0">
                  <c:v>0</c:v>
                </c:pt>
                <c:pt idx="2">
                  <c:v>4</c:v>
                </c:pt>
                <c:pt idx="3">
                  <c:v>1</c:v>
                </c:pt>
                <c:pt idx="4">
                  <c:v>3</c:v>
                </c:pt>
                <c:pt idx="5">
                  <c:v>2</c:v>
                </c:pt>
              </c:numCache>
            </c:numRef>
          </c:val>
        </c:ser>
        <c:dLbls>
          <c:dLblPos val="inBase"/>
          <c:showLegendKey val="0"/>
          <c:showVal val="1"/>
          <c:showCatName val="0"/>
          <c:showSerName val="0"/>
          <c:showPercent val="0"/>
          <c:showBubbleSize val="0"/>
        </c:dLbls>
        <c:gapWidth val="150"/>
        <c:axId val="321698048"/>
        <c:axId val="321708032"/>
      </c:barChart>
      <c:catAx>
        <c:axId val="321698048"/>
        <c:scaling>
          <c:orientation val="minMax"/>
        </c:scaling>
        <c:delete val="0"/>
        <c:axPos val="b"/>
        <c:numFmt formatCode="General" sourceLinked="1"/>
        <c:majorTickMark val="out"/>
        <c:minorTickMark val="none"/>
        <c:tickLblPos val="nextTo"/>
        <c:crossAx val="321708032"/>
        <c:crosses val="autoZero"/>
        <c:auto val="1"/>
        <c:lblAlgn val="ctr"/>
        <c:lblOffset val="100"/>
        <c:noMultiLvlLbl val="0"/>
      </c:catAx>
      <c:valAx>
        <c:axId val="321708032"/>
        <c:scaling>
          <c:orientation val="minMax"/>
        </c:scaling>
        <c:delete val="0"/>
        <c:axPos val="l"/>
        <c:majorGridlines/>
        <c:numFmt formatCode="General" sourceLinked="1"/>
        <c:majorTickMark val="out"/>
        <c:minorTickMark val="none"/>
        <c:tickLblPos val="nextTo"/>
        <c:crossAx val="321698048"/>
        <c:crosses val="autoZero"/>
        <c:crossBetween val="between"/>
      </c:valAx>
      <c:dTable>
        <c:showHorzBorder val="1"/>
        <c:showVertBorder val="1"/>
        <c:showOutline val="1"/>
        <c:showKeys val="0"/>
      </c:dTable>
    </c:plotArea>
    <c:legend>
      <c:legendPos val="t"/>
      <c:layout/>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 macro.xlsm]Sheet1!PivotTable1</c:name>
    <c:fmtId val="0"/>
  </c:pivotSource>
  <c:chart>
    <c:autoTitleDeleted val="0"/>
    <c:pivotFmts>
      <c:pivotFmt>
        <c:idx val="0"/>
        <c:marker>
          <c:symbol val="none"/>
        </c:marker>
      </c:pivotFmt>
      <c:pivotFmt>
        <c:idx val="1"/>
        <c:marker>
          <c:symbol val="none"/>
        </c:marker>
      </c:pivotFmt>
      <c:pivotFmt>
        <c:idx val="2"/>
        <c:marker>
          <c:symbol val="none"/>
        </c:marker>
      </c:pivotFmt>
    </c:pivotFmts>
    <c:plotArea>
      <c:layout/>
      <c:barChart>
        <c:barDir val="col"/>
        <c:grouping val="clustered"/>
        <c:varyColors val="0"/>
        <c:ser>
          <c:idx val="0"/>
          <c:order val="0"/>
          <c:tx>
            <c:strRef>
              <c:f>Sheet1!$B$1:$B$3</c:f>
              <c:strCache>
                <c:ptCount val="1"/>
                <c:pt idx="0">
                  <c:v>Sum of sr - 123</c:v>
                </c:pt>
              </c:strCache>
            </c:strRef>
          </c:tx>
          <c:invertIfNegative val="0"/>
          <c:cat>
            <c:strRef>
              <c:f>Sheet1!$A$4:$A$8</c:f>
              <c:strCache>
                <c:ptCount val="4"/>
                <c:pt idx="0">
                  <c:v>om</c:v>
                </c:pt>
                <c:pt idx="1">
                  <c:v>rahul</c:v>
                </c:pt>
                <c:pt idx="2">
                  <c:v>saeel</c:v>
                </c:pt>
                <c:pt idx="3">
                  <c:v>yash</c:v>
                </c:pt>
              </c:strCache>
            </c:strRef>
          </c:cat>
          <c:val>
            <c:numRef>
              <c:f>Sheet1!$B$4:$B$8</c:f>
              <c:numCache>
                <c:formatCode>General</c:formatCode>
                <c:ptCount val="4"/>
                <c:pt idx="1">
                  <c:v>1</c:v>
                </c:pt>
              </c:numCache>
            </c:numRef>
          </c:val>
        </c:ser>
        <c:ser>
          <c:idx val="1"/>
          <c:order val="1"/>
          <c:tx>
            <c:strRef>
              <c:f>Sheet1!$C$1:$C$3</c:f>
              <c:strCache>
                <c:ptCount val="1"/>
                <c:pt idx="0">
                  <c:v>Sum of sr - 414</c:v>
                </c:pt>
              </c:strCache>
            </c:strRef>
          </c:tx>
          <c:invertIfNegative val="0"/>
          <c:cat>
            <c:strRef>
              <c:f>Sheet1!$A$4:$A$8</c:f>
              <c:strCache>
                <c:ptCount val="4"/>
                <c:pt idx="0">
                  <c:v>om</c:v>
                </c:pt>
                <c:pt idx="1">
                  <c:v>rahul</c:v>
                </c:pt>
                <c:pt idx="2">
                  <c:v>saeel</c:v>
                </c:pt>
                <c:pt idx="3">
                  <c:v>yash</c:v>
                </c:pt>
              </c:strCache>
            </c:strRef>
          </c:cat>
          <c:val>
            <c:numRef>
              <c:f>Sheet1!$C$4:$C$8</c:f>
              <c:numCache>
                <c:formatCode>General</c:formatCode>
                <c:ptCount val="4"/>
                <c:pt idx="0">
                  <c:v>4</c:v>
                </c:pt>
              </c:numCache>
            </c:numRef>
          </c:val>
        </c:ser>
        <c:ser>
          <c:idx val="2"/>
          <c:order val="2"/>
          <c:tx>
            <c:strRef>
              <c:f>Sheet1!$D$1:$D$3</c:f>
              <c:strCache>
                <c:ptCount val="1"/>
                <c:pt idx="0">
                  <c:v>Sum of sr - 441</c:v>
                </c:pt>
              </c:strCache>
            </c:strRef>
          </c:tx>
          <c:invertIfNegative val="0"/>
          <c:cat>
            <c:strRef>
              <c:f>Sheet1!$A$4:$A$8</c:f>
              <c:strCache>
                <c:ptCount val="4"/>
                <c:pt idx="0">
                  <c:v>om</c:v>
                </c:pt>
                <c:pt idx="1">
                  <c:v>rahul</c:v>
                </c:pt>
                <c:pt idx="2">
                  <c:v>saeel</c:v>
                </c:pt>
                <c:pt idx="3">
                  <c:v>yash</c:v>
                </c:pt>
              </c:strCache>
            </c:strRef>
          </c:cat>
          <c:val>
            <c:numRef>
              <c:f>Sheet1!$D$4:$D$8</c:f>
              <c:numCache>
                <c:formatCode>General</c:formatCode>
                <c:ptCount val="4"/>
                <c:pt idx="2">
                  <c:v>3</c:v>
                </c:pt>
              </c:numCache>
            </c:numRef>
          </c:val>
        </c:ser>
        <c:ser>
          <c:idx val="3"/>
          <c:order val="3"/>
          <c:tx>
            <c:strRef>
              <c:f>Sheet1!$E$1:$E$3</c:f>
              <c:strCache>
                <c:ptCount val="1"/>
                <c:pt idx="0">
                  <c:v>Sum of sr - 1124</c:v>
                </c:pt>
              </c:strCache>
            </c:strRef>
          </c:tx>
          <c:invertIfNegative val="0"/>
          <c:cat>
            <c:strRef>
              <c:f>Sheet1!$A$4:$A$8</c:f>
              <c:strCache>
                <c:ptCount val="4"/>
                <c:pt idx="0">
                  <c:v>om</c:v>
                </c:pt>
                <c:pt idx="1">
                  <c:v>rahul</c:v>
                </c:pt>
                <c:pt idx="2">
                  <c:v>saeel</c:v>
                </c:pt>
                <c:pt idx="3">
                  <c:v>yash</c:v>
                </c:pt>
              </c:strCache>
            </c:strRef>
          </c:cat>
          <c:val>
            <c:numRef>
              <c:f>Sheet1!$E$4:$E$8</c:f>
              <c:numCache>
                <c:formatCode>General</c:formatCode>
                <c:ptCount val="4"/>
                <c:pt idx="3">
                  <c:v>2</c:v>
                </c:pt>
              </c:numCache>
            </c:numRef>
          </c:val>
        </c:ser>
        <c:ser>
          <c:idx val="4"/>
          <c:order val="4"/>
          <c:tx>
            <c:strRef>
              <c:f>Sheet1!$F$1:$F$3</c:f>
              <c:strCache>
                <c:ptCount val="1"/>
                <c:pt idx="0">
                  <c:v>Sum of date - 123</c:v>
                </c:pt>
              </c:strCache>
            </c:strRef>
          </c:tx>
          <c:invertIfNegative val="0"/>
          <c:cat>
            <c:strRef>
              <c:f>Sheet1!$A$4:$A$8</c:f>
              <c:strCache>
                <c:ptCount val="4"/>
                <c:pt idx="0">
                  <c:v>om</c:v>
                </c:pt>
                <c:pt idx="1">
                  <c:v>rahul</c:v>
                </c:pt>
                <c:pt idx="2">
                  <c:v>saeel</c:v>
                </c:pt>
                <c:pt idx="3">
                  <c:v>yash</c:v>
                </c:pt>
              </c:strCache>
            </c:strRef>
          </c:cat>
          <c:val>
            <c:numRef>
              <c:f>Sheet1!$F$4:$F$8</c:f>
              <c:numCache>
                <c:formatCode>General</c:formatCode>
                <c:ptCount val="4"/>
                <c:pt idx="1">
                  <c:v>12</c:v>
                </c:pt>
              </c:numCache>
            </c:numRef>
          </c:val>
        </c:ser>
        <c:ser>
          <c:idx val="5"/>
          <c:order val="5"/>
          <c:tx>
            <c:strRef>
              <c:f>Sheet1!$G$1:$G$3</c:f>
              <c:strCache>
                <c:ptCount val="1"/>
                <c:pt idx="0">
                  <c:v>Sum of date - 414</c:v>
                </c:pt>
              </c:strCache>
            </c:strRef>
          </c:tx>
          <c:invertIfNegative val="0"/>
          <c:cat>
            <c:strRef>
              <c:f>Sheet1!$A$4:$A$8</c:f>
              <c:strCache>
                <c:ptCount val="4"/>
                <c:pt idx="0">
                  <c:v>om</c:v>
                </c:pt>
                <c:pt idx="1">
                  <c:v>rahul</c:v>
                </c:pt>
                <c:pt idx="2">
                  <c:v>saeel</c:v>
                </c:pt>
                <c:pt idx="3">
                  <c:v>yash</c:v>
                </c:pt>
              </c:strCache>
            </c:strRef>
          </c:cat>
          <c:val>
            <c:numRef>
              <c:f>Sheet1!$G$4:$G$8</c:f>
              <c:numCache>
                <c:formatCode>General</c:formatCode>
                <c:ptCount val="4"/>
                <c:pt idx="0">
                  <c:v>13</c:v>
                </c:pt>
              </c:numCache>
            </c:numRef>
          </c:val>
        </c:ser>
        <c:ser>
          <c:idx val="6"/>
          <c:order val="6"/>
          <c:tx>
            <c:strRef>
              <c:f>Sheet1!$H$1:$H$3</c:f>
              <c:strCache>
                <c:ptCount val="1"/>
                <c:pt idx="0">
                  <c:v>Sum of date - 441</c:v>
                </c:pt>
              </c:strCache>
            </c:strRef>
          </c:tx>
          <c:invertIfNegative val="0"/>
          <c:cat>
            <c:strRef>
              <c:f>Sheet1!$A$4:$A$8</c:f>
              <c:strCache>
                <c:ptCount val="4"/>
                <c:pt idx="0">
                  <c:v>om</c:v>
                </c:pt>
                <c:pt idx="1">
                  <c:v>rahul</c:v>
                </c:pt>
                <c:pt idx="2">
                  <c:v>saeel</c:v>
                </c:pt>
                <c:pt idx="3">
                  <c:v>yash</c:v>
                </c:pt>
              </c:strCache>
            </c:strRef>
          </c:cat>
          <c:val>
            <c:numRef>
              <c:f>Sheet1!$H$4:$H$8</c:f>
              <c:numCache>
                <c:formatCode>General</c:formatCode>
                <c:ptCount val="4"/>
                <c:pt idx="2">
                  <c:v>13</c:v>
                </c:pt>
              </c:numCache>
            </c:numRef>
          </c:val>
        </c:ser>
        <c:ser>
          <c:idx val="7"/>
          <c:order val="7"/>
          <c:tx>
            <c:strRef>
              <c:f>Sheet1!$I$1:$I$3</c:f>
              <c:strCache>
                <c:ptCount val="1"/>
                <c:pt idx="0">
                  <c:v>Sum of date - 1124</c:v>
                </c:pt>
              </c:strCache>
            </c:strRef>
          </c:tx>
          <c:invertIfNegative val="0"/>
          <c:cat>
            <c:strRef>
              <c:f>Sheet1!$A$4:$A$8</c:f>
              <c:strCache>
                <c:ptCount val="4"/>
                <c:pt idx="0">
                  <c:v>om</c:v>
                </c:pt>
                <c:pt idx="1">
                  <c:v>rahul</c:v>
                </c:pt>
                <c:pt idx="2">
                  <c:v>saeel</c:v>
                </c:pt>
                <c:pt idx="3">
                  <c:v>yash</c:v>
                </c:pt>
              </c:strCache>
            </c:strRef>
          </c:cat>
          <c:val>
            <c:numRef>
              <c:f>Sheet1!$I$4:$I$8</c:f>
              <c:numCache>
                <c:formatCode>General</c:formatCode>
                <c:ptCount val="4"/>
                <c:pt idx="3">
                  <c:v>12</c:v>
                </c:pt>
              </c:numCache>
            </c:numRef>
          </c:val>
        </c:ser>
        <c:dLbls>
          <c:showLegendKey val="0"/>
          <c:showVal val="0"/>
          <c:showCatName val="0"/>
          <c:showSerName val="0"/>
          <c:showPercent val="0"/>
          <c:showBubbleSize val="0"/>
        </c:dLbls>
        <c:gapWidth val="150"/>
        <c:axId val="321801216"/>
        <c:axId val="321815296"/>
      </c:barChart>
      <c:catAx>
        <c:axId val="321801216"/>
        <c:scaling>
          <c:orientation val="minMax"/>
        </c:scaling>
        <c:delete val="0"/>
        <c:axPos val="b"/>
        <c:majorTickMark val="out"/>
        <c:minorTickMark val="none"/>
        <c:tickLblPos val="nextTo"/>
        <c:crossAx val="321815296"/>
        <c:crosses val="autoZero"/>
        <c:auto val="1"/>
        <c:lblAlgn val="ctr"/>
        <c:lblOffset val="100"/>
        <c:noMultiLvlLbl val="0"/>
      </c:catAx>
      <c:valAx>
        <c:axId val="321815296"/>
        <c:scaling>
          <c:orientation val="minMax"/>
        </c:scaling>
        <c:delete val="0"/>
        <c:axPos val="l"/>
        <c:majorGridlines/>
        <c:numFmt formatCode="General" sourceLinked="1"/>
        <c:majorTickMark val="out"/>
        <c:minorTickMark val="none"/>
        <c:tickLblPos val="nextTo"/>
        <c:crossAx val="321801216"/>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col"/>
        <c:grouping val="clustered"/>
        <c:varyColors val="0"/>
        <c:ser>
          <c:idx val="1"/>
          <c:order val="0"/>
          <c:tx>
            <c:strRef>
              <c:f>Sheet2!$N$12</c:f>
              <c:strCache>
                <c:ptCount val="1"/>
                <c:pt idx="0">
                  <c:v>salary</c:v>
                </c:pt>
              </c:strCache>
            </c:strRef>
          </c:tx>
          <c:invertIfNegative val="0"/>
          <c:cat>
            <c:strRef>
              <c:f>Sheet2!$L$13:$L$16</c:f>
              <c:strCache>
                <c:ptCount val="4"/>
                <c:pt idx="0">
                  <c:v>yash</c:v>
                </c:pt>
                <c:pt idx="1">
                  <c:v>saeel</c:v>
                </c:pt>
                <c:pt idx="2">
                  <c:v>rahul</c:v>
                </c:pt>
                <c:pt idx="3">
                  <c:v>om</c:v>
                </c:pt>
              </c:strCache>
            </c:strRef>
          </c:cat>
          <c:val>
            <c:numRef>
              <c:f>Sheet2!$N$13:$N$16</c:f>
              <c:numCache>
                <c:formatCode>General</c:formatCode>
                <c:ptCount val="4"/>
                <c:pt idx="0">
                  <c:v>10000</c:v>
                </c:pt>
                <c:pt idx="1">
                  <c:v>11000</c:v>
                </c:pt>
                <c:pt idx="2">
                  <c:v>12000</c:v>
                </c:pt>
                <c:pt idx="3">
                  <c:v>13000</c:v>
                </c:pt>
              </c:numCache>
            </c:numRef>
          </c:val>
        </c:ser>
        <c:dLbls>
          <c:showLegendKey val="0"/>
          <c:showVal val="0"/>
          <c:showCatName val="0"/>
          <c:showSerName val="0"/>
          <c:showPercent val="0"/>
          <c:showBubbleSize val="0"/>
        </c:dLbls>
        <c:gapWidth val="150"/>
        <c:axId val="322446848"/>
        <c:axId val="322448384"/>
      </c:barChart>
      <c:catAx>
        <c:axId val="322446848"/>
        <c:scaling>
          <c:orientation val="minMax"/>
        </c:scaling>
        <c:delete val="0"/>
        <c:axPos val="b"/>
        <c:majorTickMark val="out"/>
        <c:minorTickMark val="none"/>
        <c:tickLblPos val="nextTo"/>
        <c:crossAx val="322448384"/>
        <c:crosses val="autoZero"/>
        <c:auto val="1"/>
        <c:lblAlgn val="ctr"/>
        <c:lblOffset val="100"/>
        <c:noMultiLvlLbl val="0"/>
      </c:catAx>
      <c:valAx>
        <c:axId val="322448384"/>
        <c:scaling>
          <c:orientation val="minMax"/>
        </c:scaling>
        <c:delete val="0"/>
        <c:axPos val="l"/>
        <c:majorGridlines/>
        <c:numFmt formatCode="General" sourceLinked="1"/>
        <c:majorTickMark val="out"/>
        <c:minorTickMark val="none"/>
        <c:tickLblPos val="nextTo"/>
        <c:crossAx val="322446848"/>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22"/>
    </mc:Choice>
    <mc:Fallback>
      <c:style val="22"/>
    </mc:Fallback>
  </mc:AlternateContent>
  <c:pivotSource>
    <c:name>[Book1 macro.xlsm]Sheet5!PivotTable2</c:name>
    <c:fmtId val="0"/>
  </c:pivotSource>
  <c:chart>
    <c:autoTitleDeleted val="1"/>
    <c:pivotFmts>
      <c:pivotFmt>
        <c:idx val="0"/>
      </c:pivotFmt>
      <c:pivotFmt>
        <c:idx val="1"/>
      </c:pivotFmt>
      <c:pivotFmt>
        <c:idx val="2"/>
        <c:marker>
          <c:symbol val="none"/>
        </c:marker>
      </c:pivotFmt>
      <c:pivotFmt>
        <c:idx val="3"/>
        <c:marker>
          <c:symbol val="none"/>
        </c:marker>
        <c:dLbl>
          <c:idx val="0"/>
          <c:delete val="1"/>
        </c:dLbl>
      </c:pivotFmt>
      <c:pivotFmt>
        <c:idx val="4"/>
        <c:marker>
          <c:symbol val="none"/>
        </c:marker>
        <c:dLbl>
          <c:idx val="0"/>
          <c:delete val="1"/>
        </c:dLbl>
      </c:pivotFmt>
      <c:pivotFmt>
        <c:idx val="5"/>
        <c:marker>
          <c:symbol val="none"/>
        </c:marker>
        <c:dLbl>
          <c:idx val="0"/>
          <c:delete val="1"/>
        </c:dLbl>
      </c:pivotFmt>
      <c:pivotFmt>
        <c:idx val="6"/>
        <c:marker>
          <c:symbol val="none"/>
        </c:marker>
        <c:dLbl>
          <c:idx val="0"/>
          <c:delete val="1"/>
        </c:dLbl>
      </c:pivotFmt>
      <c:pivotFmt>
        <c:idx val="7"/>
        <c:marker>
          <c:symbol val="none"/>
        </c:marker>
        <c:dLbl>
          <c:idx val="0"/>
          <c:delete val="1"/>
        </c:dLbl>
      </c:pivotFmt>
      <c:pivotFmt>
        <c:idx val="8"/>
        <c:marker>
          <c:symbol val="none"/>
        </c:marker>
        <c:dLbl>
          <c:idx val="0"/>
          <c:delete val="1"/>
        </c:dLbl>
      </c:pivotFmt>
      <c:pivotFmt>
        <c:idx val="9"/>
        <c:marker>
          <c:symbol val="none"/>
        </c:marker>
        <c:dLbl>
          <c:idx val="0"/>
          <c:delete val="1"/>
        </c:dLbl>
      </c:pivotFmt>
      <c:pivotFmt>
        <c:idx val="10"/>
        <c:marker>
          <c:symbol val="none"/>
        </c:marker>
        <c:dLbl>
          <c:idx val="0"/>
          <c:delete val="1"/>
        </c:dLbl>
      </c:pivotFmt>
      <c:pivotFmt>
        <c:idx val="11"/>
        <c:marker>
          <c:symbol val="none"/>
        </c:marker>
        <c:dLbl>
          <c:idx val="0"/>
          <c:delete val="1"/>
        </c:dLbl>
      </c:pivotFmt>
      <c:pivotFmt>
        <c:idx val="12"/>
        <c:marker>
          <c:symbol val="none"/>
        </c:marker>
        <c:dLbl>
          <c:idx val="0"/>
          <c:delete val="1"/>
        </c:dLbl>
      </c:pivotFmt>
      <c:pivotFmt>
        <c:idx val="13"/>
        <c:marker>
          <c:symbol val="none"/>
        </c:marker>
        <c:dLbl>
          <c:idx val="0"/>
          <c:delete val="1"/>
        </c:dLbl>
      </c:pivotFmt>
      <c:pivotFmt>
        <c:idx val="14"/>
        <c:marker>
          <c:symbol val="none"/>
        </c:marker>
        <c:dLbl>
          <c:idx val="0"/>
          <c:delete val="1"/>
        </c:dLbl>
      </c:pivotFmt>
      <c:pivotFmt>
        <c:idx val="15"/>
        <c:marker>
          <c:symbol val="none"/>
        </c:marker>
        <c:dLbl>
          <c:idx val="0"/>
          <c:delete val="1"/>
        </c:dLbl>
      </c:pivotFmt>
      <c:pivotFmt>
        <c:idx val="16"/>
        <c:marker>
          <c:symbol val="none"/>
        </c:marker>
        <c:dLbl>
          <c:idx val="0"/>
          <c:delete val="1"/>
        </c:dLbl>
      </c:pivotFmt>
      <c:pivotFmt>
        <c:idx val="17"/>
        <c:marker>
          <c:symbol val="none"/>
        </c:marker>
        <c:dLbl>
          <c:idx val="0"/>
          <c:delete val="1"/>
        </c:dLbl>
      </c:pivotFmt>
      <c:pivotFmt>
        <c:idx val="18"/>
        <c:marker>
          <c:symbol val="none"/>
        </c:marker>
        <c:dLbl>
          <c:idx val="0"/>
          <c:delete val="1"/>
        </c:dLbl>
      </c:pivotFmt>
      <c:pivotFmt>
        <c:idx val="19"/>
        <c:marker>
          <c:symbol val="none"/>
        </c:marker>
        <c:dLbl>
          <c:idx val="0"/>
          <c:delete val="1"/>
        </c:dLbl>
      </c:pivotFmt>
    </c:pivotFmts>
    <c:plotArea>
      <c:layout/>
      <c:barChart>
        <c:barDir val="col"/>
        <c:grouping val="clustered"/>
        <c:varyColors val="0"/>
        <c:ser>
          <c:idx val="0"/>
          <c:order val="0"/>
          <c:tx>
            <c:strRef>
              <c:f>Sheet5!$B$3</c:f>
              <c:strCache>
                <c:ptCount val="1"/>
                <c:pt idx="0">
                  <c:v>Total</c:v>
                </c:pt>
              </c:strCache>
            </c:strRef>
          </c:tx>
          <c:invertIfNegative val="0"/>
          <c:cat>
            <c:multiLvlStrRef>
              <c:f>Sheet5!$A$4:$A$11</c:f>
              <c:multiLvlStrCache>
                <c:ptCount val="3"/>
                <c:lvl>
                  <c:pt idx="0">
                    <c:v>Virtue</c:v>
                  </c:pt>
                  <c:pt idx="1">
                    <c:v>XA21</c:v>
                  </c:pt>
                  <c:pt idx="2">
                    <c:v>F620</c:v>
                  </c:pt>
                </c:lvl>
                <c:lvl>
                  <c:pt idx="0">
                    <c:v>Ocelot</c:v>
                  </c:pt>
                  <c:pt idx="2">
                    <c:v>Ocelot</c:v>
                  </c:pt>
                </c:lvl>
                <c:lvl>
                  <c:pt idx="0">
                    <c:v>1949</c:v>
                  </c:pt>
                  <c:pt idx="2">
                    <c:v>1950</c:v>
                  </c:pt>
                </c:lvl>
              </c:multiLvlStrCache>
            </c:multiLvlStrRef>
          </c:cat>
          <c:val>
            <c:numRef>
              <c:f>Sheet5!$B$4:$B$11</c:f>
              <c:numCache>
                <c:formatCode>General</c:formatCode>
                <c:ptCount val="3"/>
                <c:pt idx="0">
                  <c:v>61000</c:v>
                </c:pt>
                <c:pt idx="1">
                  <c:v>34000</c:v>
                </c:pt>
                <c:pt idx="2">
                  <c:v>23550</c:v>
                </c:pt>
              </c:numCache>
            </c:numRef>
          </c:val>
        </c:ser>
        <c:dLbls>
          <c:showLegendKey val="0"/>
          <c:showVal val="0"/>
          <c:showCatName val="0"/>
          <c:showSerName val="0"/>
          <c:showPercent val="0"/>
          <c:showBubbleSize val="0"/>
        </c:dLbls>
        <c:gapWidth val="150"/>
        <c:axId val="322576384"/>
        <c:axId val="322577920"/>
      </c:barChart>
      <c:catAx>
        <c:axId val="322576384"/>
        <c:scaling>
          <c:orientation val="minMax"/>
        </c:scaling>
        <c:delete val="0"/>
        <c:axPos val="b"/>
        <c:majorTickMark val="out"/>
        <c:minorTickMark val="none"/>
        <c:tickLblPos val="nextTo"/>
        <c:crossAx val="322577920"/>
        <c:crosses val="autoZero"/>
        <c:auto val="1"/>
        <c:lblAlgn val="ctr"/>
        <c:lblOffset val="100"/>
        <c:noMultiLvlLbl val="0"/>
      </c:catAx>
      <c:valAx>
        <c:axId val="322577920"/>
        <c:scaling>
          <c:orientation val="minMax"/>
        </c:scaling>
        <c:delete val="0"/>
        <c:axPos val="l"/>
        <c:majorGridlines/>
        <c:numFmt formatCode="General" sourceLinked="1"/>
        <c:majorTickMark val="out"/>
        <c:minorTickMark val="none"/>
        <c:tickLblPos val="nextTo"/>
        <c:crossAx val="322576384"/>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43"/>
    </mc:Choice>
    <mc:Fallback>
      <c:style val="43"/>
    </mc:Fallback>
  </mc:AlternateContent>
  <c:pivotSource>
    <c:name>[Book1 macro.xlsm]Sheet5!PivotTable2</c:name>
    <c:fmtId val="1"/>
  </c:pivotSource>
  <c:chart>
    <c:title>
      <c:layout/>
      <c:overlay val="0"/>
    </c:title>
    <c:autoTitleDeleted val="0"/>
    <c:pivotFmts>
      <c:pivotFmt>
        <c:idx val="0"/>
      </c:pivotFmt>
      <c:pivotFmt>
        <c:idx val="1"/>
      </c:pivotFmt>
      <c:pivotFmt>
        <c:idx val="2"/>
        <c:marker>
          <c:symbol val="none"/>
        </c:marker>
      </c:pivotFmt>
    </c:pivotFmts>
    <c:plotArea>
      <c:layout/>
      <c:pieChart>
        <c:varyColors val="1"/>
        <c:ser>
          <c:idx val="0"/>
          <c:order val="0"/>
          <c:tx>
            <c:strRef>
              <c:f>Sheet5!$B$3</c:f>
              <c:strCache>
                <c:ptCount val="1"/>
                <c:pt idx="0">
                  <c:v>Total</c:v>
                </c:pt>
              </c:strCache>
            </c:strRef>
          </c:tx>
          <c:cat>
            <c:multiLvlStrRef>
              <c:f>Sheet5!$A$4:$A$11</c:f>
              <c:multiLvlStrCache>
                <c:ptCount val="3"/>
                <c:lvl>
                  <c:pt idx="0">
                    <c:v>Virtue</c:v>
                  </c:pt>
                  <c:pt idx="1">
                    <c:v>XA21</c:v>
                  </c:pt>
                  <c:pt idx="2">
                    <c:v>F620</c:v>
                  </c:pt>
                </c:lvl>
                <c:lvl>
                  <c:pt idx="0">
                    <c:v>Ocelot</c:v>
                  </c:pt>
                  <c:pt idx="2">
                    <c:v>Ocelot</c:v>
                  </c:pt>
                </c:lvl>
                <c:lvl>
                  <c:pt idx="0">
                    <c:v>1949</c:v>
                  </c:pt>
                  <c:pt idx="2">
                    <c:v>1950</c:v>
                  </c:pt>
                </c:lvl>
              </c:multiLvlStrCache>
            </c:multiLvlStrRef>
          </c:cat>
          <c:val>
            <c:numRef>
              <c:f>Sheet5!$B$4:$B$11</c:f>
              <c:numCache>
                <c:formatCode>General</c:formatCode>
                <c:ptCount val="3"/>
                <c:pt idx="0">
                  <c:v>61000</c:v>
                </c:pt>
                <c:pt idx="1">
                  <c:v>34000</c:v>
                </c:pt>
                <c:pt idx="2">
                  <c:v>23550</c:v>
                </c:pt>
              </c:numCache>
            </c:numRef>
          </c:val>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33"/>
    </mc:Choice>
    <mc:Fallback>
      <c:style val="33"/>
    </mc:Fallback>
  </mc:AlternateContent>
  <c:pivotSource>
    <c:name>[Book1 macro.xlsm]Sheet5!PivotTable2</c:name>
    <c:fmtId val="2"/>
  </c:pivotSource>
  <c:chart>
    <c:title>
      <c:layout/>
      <c:overlay val="0"/>
    </c:title>
    <c:autoTitleDeleted val="0"/>
    <c:pivotFmts>
      <c:pivotFmt>
        <c:idx val="0"/>
      </c:pivotFmt>
      <c:pivotFmt>
        <c:idx val="1"/>
      </c:pivotFmt>
      <c:pivotFmt>
        <c:idx val="2"/>
        <c:marker>
          <c:symbol val="none"/>
        </c:marker>
      </c:pivotFmt>
    </c:pivotFmts>
    <c:plotArea>
      <c:layout/>
      <c:barChart>
        <c:barDir val="bar"/>
        <c:grouping val="clustered"/>
        <c:varyColors val="0"/>
        <c:ser>
          <c:idx val="0"/>
          <c:order val="0"/>
          <c:tx>
            <c:strRef>
              <c:f>Sheet5!$B$3</c:f>
              <c:strCache>
                <c:ptCount val="1"/>
                <c:pt idx="0">
                  <c:v>Total</c:v>
                </c:pt>
              </c:strCache>
            </c:strRef>
          </c:tx>
          <c:invertIfNegative val="0"/>
          <c:cat>
            <c:multiLvlStrRef>
              <c:f>Sheet5!$A$4:$A$11</c:f>
              <c:multiLvlStrCache>
                <c:ptCount val="3"/>
                <c:lvl>
                  <c:pt idx="0">
                    <c:v>Virtue</c:v>
                  </c:pt>
                  <c:pt idx="1">
                    <c:v>XA21</c:v>
                  </c:pt>
                  <c:pt idx="2">
                    <c:v>F620</c:v>
                  </c:pt>
                </c:lvl>
                <c:lvl>
                  <c:pt idx="0">
                    <c:v>Ocelot</c:v>
                  </c:pt>
                  <c:pt idx="2">
                    <c:v>Ocelot</c:v>
                  </c:pt>
                </c:lvl>
                <c:lvl>
                  <c:pt idx="0">
                    <c:v>1949</c:v>
                  </c:pt>
                  <c:pt idx="2">
                    <c:v>1950</c:v>
                  </c:pt>
                </c:lvl>
              </c:multiLvlStrCache>
            </c:multiLvlStrRef>
          </c:cat>
          <c:val>
            <c:numRef>
              <c:f>Sheet5!$B$4:$B$11</c:f>
              <c:numCache>
                <c:formatCode>General</c:formatCode>
                <c:ptCount val="3"/>
                <c:pt idx="0">
                  <c:v>61000</c:v>
                </c:pt>
                <c:pt idx="1">
                  <c:v>34000</c:v>
                </c:pt>
                <c:pt idx="2">
                  <c:v>23550</c:v>
                </c:pt>
              </c:numCache>
            </c:numRef>
          </c:val>
        </c:ser>
        <c:dLbls>
          <c:showLegendKey val="0"/>
          <c:showVal val="0"/>
          <c:showCatName val="0"/>
          <c:showSerName val="0"/>
          <c:showPercent val="0"/>
          <c:showBubbleSize val="0"/>
        </c:dLbls>
        <c:gapWidth val="150"/>
        <c:axId val="322624896"/>
        <c:axId val="323040384"/>
      </c:barChart>
      <c:catAx>
        <c:axId val="322624896"/>
        <c:scaling>
          <c:orientation val="minMax"/>
        </c:scaling>
        <c:delete val="0"/>
        <c:axPos val="l"/>
        <c:majorTickMark val="out"/>
        <c:minorTickMark val="none"/>
        <c:tickLblPos val="nextTo"/>
        <c:crossAx val="323040384"/>
        <c:crosses val="autoZero"/>
        <c:auto val="1"/>
        <c:lblAlgn val="ctr"/>
        <c:lblOffset val="100"/>
        <c:noMultiLvlLbl val="0"/>
      </c:catAx>
      <c:valAx>
        <c:axId val="323040384"/>
        <c:scaling>
          <c:orientation val="minMax"/>
        </c:scaling>
        <c:delete val="0"/>
        <c:axPos val="b"/>
        <c:majorGridlines/>
        <c:numFmt formatCode="General" sourceLinked="1"/>
        <c:majorTickMark val="out"/>
        <c:minorTickMark val="none"/>
        <c:tickLblPos val="nextTo"/>
        <c:crossAx val="322624896"/>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1</xdr:col>
      <xdr:colOff>266700</xdr:colOff>
      <xdr:row>11</xdr:row>
      <xdr:rowOff>49530</xdr:rowOff>
    </xdr:from>
    <xdr:to>
      <xdr:col>9</xdr:col>
      <xdr:colOff>38100</xdr:colOff>
      <xdr:row>26</xdr:row>
      <xdr:rowOff>49530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175260</xdr:colOff>
      <xdr:row>11</xdr:row>
      <xdr:rowOff>26670</xdr:rowOff>
    </xdr:from>
    <xdr:to>
      <xdr:col>15</xdr:col>
      <xdr:colOff>274320</xdr:colOff>
      <xdr:row>26</xdr:row>
      <xdr:rowOff>26670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243840</xdr:colOff>
      <xdr:row>13</xdr:row>
      <xdr:rowOff>64770</xdr:rowOff>
    </xdr:from>
    <xdr:to>
      <xdr:col>26</xdr:col>
      <xdr:colOff>487680</xdr:colOff>
      <xdr:row>28</xdr:row>
      <xdr:rowOff>64770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17</xdr:col>
      <xdr:colOff>190500</xdr:colOff>
      <xdr:row>7</xdr:row>
      <xdr:rowOff>26670</xdr:rowOff>
    </xdr:from>
    <xdr:to>
      <xdr:col>24</xdr:col>
      <xdr:colOff>495300</xdr:colOff>
      <xdr:row>22</xdr:row>
      <xdr:rowOff>26670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15240</xdr:colOff>
      <xdr:row>6</xdr:row>
      <xdr:rowOff>129540</xdr:rowOff>
    </xdr:from>
    <xdr:to>
      <xdr:col>11</xdr:col>
      <xdr:colOff>15240</xdr:colOff>
      <xdr:row>20</xdr:row>
      <xdr:rowOff>36195</xdr:rowOff>
    </xdr:to>
    <mc:AlternateContent xmlns:mc="http://schemas.openxmlformats.org/markup-compatibility/2006">
      <mc:Choice xmlns:a14="http://schemas.microsoft.com/office/drawing/2010/main" Requires="a14">
        <xdr:graphicFrame macro="">
          <xdr:nvGraphicFramePr>
            <xdr:cNvPr id="3" name="Name"/>
            <xdr:cNvGraphicFramePr/>
          </xdr:nvGraphicFramePr>
          <xdr:xfrm>
            <a:off x="0" y="0"/>
            <a:ext cx="0" cy="0"/>
          </xdr:xfrm>
          <a:graphic>
            <a:graphicData uri="http://schemas.microsoft.com/office/drawing/2010/slicer">
              <sle:slicer xmlns:sle="http://schemas.microsoft.com/office/drawing/2010/slicer" name="Name"/>
            </a:graphicData>
          </a:graphic>
        </xdr:graphicFrame>
      </mc:Choice>
      <mc:Fallback>
        <xdr:sp macro="" textlink="">
          <xdr:nvSpPr>
            <xdr:cNvPr id="0" name=""/>
            <xdr:cNvSpPr>
              <a:spLocks noTextEdit="1"/>
            </xdr:cNvSpPr>
          </xdr:nvSpPr>
          <xdr:spPr>
            <a:xfrm>
              <a:off x="5379720" y="122682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297180</xdr:colOff>
      <xdr:row>22</xdr:row>
      <xdr:rowOff>53340</xdr:rowOff>
    </xdr:from>
    <xdr:to>
      <xdr:col>12</xdr:col>
      <xdr:colOff>800100</xdr:colOff>
      <xdr:row>35</xdr:row>
      <xdr:rowOff>142875</xdr:rowOff>
    </xdr:to>
    <mc:AlternateContent xmlns:mc="http://schemas.openxmlformats.org/markup-compatibility/2006">
      <mc:Choice xmlns:a14="http://schemas.microsoft.com/office/drawing/2010/main" Requires="a14">
        <xdr:graphicFrame macro="">
          <xdr:nvGraphicFramePr>
            <xdr:cNvPr id="4" name="id"/>
            <xdr:cNvGraphicFramePr/>
          </xdr:nvGraphicFramePr>
          <xdr:xfrm>
            <a:off x="0" y="0"/>
            <a:ext cx="0" cy="0"/>
          </xdr:xfrm>
          <a:graphic>
            <a:graphicData uri="http://schemas.microsoft.com/office/drawing/2010/slicer">
              <sle:slicer xmlns:sle="http://schemas.microsoft.com/office/drawing/2010/slicer" name="id"/>
            </a:graphicData>
          </a:graphic>
        </xdr:graphicFrame>
      </mc:Choice>
      <mc:Fallback>
        <xdr:sp macro="" textlink="">
          <xdr:nvSpPr>
            <xdr:cNvPr id="0" name=""/>
            <xdr:cNvSpPr>
              <a:spLocks noTextEdit="1"/>
            </xdr:cNvSpPr>
          </xdr:nvSpPr>
          <xdr:spPr>
            <a:xfrm>
              <a:off x="6880860" y="40767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838200</xdr:colOff>
      <xdr:row>22</xdr:row>
      <xdr:rowOff>68580</xdr:rowOff>
    </xdr:from>
    <xdr:to>
      <xdr:col>16</xdr:col>
      <xdr:colOff>30480</xdr:colOff>
      <xdr:row>35</xdr:row>
      <xdr:rowOff>158115</xdr:rowOff>
    </xdr:to>
    <mc:AlternateContent xmlns:mc="http://schemas.openxmlformats.org/markup-compatibility/2006">
      <mc:Choice xmlns:a14="http://schemas.microsoft.com/office/drawing/2010/main" Requires="a14">
        <xdr:graphicFrame macro="">
          <xdr:nvGraphicFramePr>
            <xdr:cNvPr id="5" name="salary"/>
            <xdr:cNvGraphicFramePr/>
          </xdr:nvGraphicFramePr>
          <xdr:xfrm>
            <a:off x="0" y="0"/>
            <a:ext cx="0" cy="0"/>
          </xdr:xfrm>
          <a:graphic>
            <a:graphicData uri="http://schemas.microsoft.com/office/drawing/2010/slicer">
              <sle:slicer xmlns:sle="http://schemas.microsoft.com/office/drawing/2010/slicer" name="salary"/>
            </a:graphicData>
          </a:graphic>
        </xdr:graphicFrame>
      </mc:Choice>
      <mc:Fallback>
        <xdr:sp macro="" textlink="">
          <xdr:nvSpPr>
            <xdr:cNvPr id="0" name=""/>
            <xdr:cNvSpPr>
              <a:spLocks noTextEdit="1"/>
            </xdr:cNvSpPr>
          </xdr:nvSpPr>
          <xdr:spPr>
            <a:xfrm>
              <a:off x="8747760" y="40919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251460</xdr:colOff>
      <xdr:row>22</xdr:row>
      <xdr:rowOff>53340</xdr:rowOff>
    </xdr:from>
    <xdr:to>
      <xdr:col>10</xdr:col>
      <xdr:colOff>251460</xdr:colOff>
      <xdr:row>35</xdr:row>
      <xdr:rowOff>142875</xdr:rowOff>
    </xdr:to>
    <mc:AlternateContent xmlns:mc="http://schemas.openxmlformats.org/markup-compatibility/2006">
      <mc:Choice xmlns:a14="http://schemas.microsoft.com/office/drawing/2010/main" Requires="a14">
        <xdr:graphicFrame macro="">
          <xdr:nvGraphicFramePr>
            <xdr:cNvPr id="6" name="name 1"/>
            <xdr:cNvGraphicFramePr/>
          </xdr:nvGraphicFramePr>
          <xdr:xfrm>
            <a:off x="0" y="0"/>
            <a:ext cx="0" cy="0"/>
          </xdr:xfrm>
          <a:graphic>
            <a:graphicData uri="http://schemas.microsoft.com/office/drawing/2010/slicer">
              <sle:slicer xmlns:sle="http://schemas.microsoft.com/office/drawing/2010/slicer" name="name 1"/>
            </a:graphicData>
          </a:graphic>
        </xdr:graphicFrame>
      </mc:Choice>
      <mc:Fallback>
        <xdr:sp macro="" textlink="">
          <xdr:nvSpPr>
            <xdr:cNvPr id="0" name=""/>
            <xdr:cNvSpPr>
              <a:spLocks noTextEdit="1"/>
            </xdr:cNvSpPr>
          </xdr:nvSpPr>
          <xdr:spPr>
            <a:xfrm>
              <a:off x="5006340" y="40767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190500</xdr:colOff>
      <xdr:row>22</xdr:row>
      <xdr:rowOff>15240</xdr:rowOff>
    </xdr:from>
    <xdr:to>
      <xdr:col>7</xdr:col>
      <xdr:colOff>190500</xdr:colOff>
      <xdr:row>35</xdr:row>
      <xdr:rowOff>104775</xdr:rowOff>
    </xdr:to>
    <mc:AlternateContent xmlns:mc="http://schemas.openxmlformats.org/markup-compatibility/2006">
      <mc:Choice xmlns:a14="http://schemas.microsoft.com/office/drawing/2010/main" Requires="a14">
        <xdr:graphicFrame macro="">
          <xdr:nvGraphicFramePr>
            <xdr:cNvPr id="7" name="id 1"/>
            <xdr:cNvGraphicFramePr/>
          </xdr:nvGraphicFramePr>
          <xdr:xfrm>
            <a:off x="0" y="0"/>
            <a:ext cx="0" cy="0"/>
          </xdr:xfrm>
          <a:graphic>
            <a:graphicData uri="http://schemas.microsoft.com/office/drawing/2010/slicer">
              <sle:slicer xmlns:sle="http://schemas.microsoft.com/office/drawing/2010/slicer" name="id 1"/>
            </a:graphicData>
          </a:graphic>
        </xdr:graphicFrame>
      </mc:Choice>
      <mc:Fallback>
        <xdr:sp macro="" textlink="">
          <xdr:nvSpPr>
            <xdr:cNvPr id="0" name=""/>
            <xdr:cNvSpPr>
              <a:spLocks noTextEdit="1"/>
            </xdr:cNvSpPr>
          </xdr:nvSpPr>
          <xdr:spPr>
            <a:xfrm>
              <a:off x="3116580" y="40386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190500</xdr:colOff>
      <xdr:row>22</xdr:row>
      <xdr:rowOff>60960</xdr:rowOff>
    </xdr:from>
    <xdr:to>
      <xdr:col>20</xdr:col>
      <xdr:colOff>411480</xdr:colOff>
      <xdr:row>35</xdr:row>
      <xdr:rowOff>150495</xdr:rowOff>
    </xdr:to>
    <mc:AlternateContent xmlns:mc="http://schemas.openxmlformats.org/markup-compatibility/2006">
      <mc:Choice xmlns:a14="http://schemas.microsoft.com/office/drawing/2010/main" Requires="a14">
        <xdr:graphicFrame macro="">
          <xdr:nvGraphicFramePr>
            <xdr:cNvPr id="8" name="salary 1"/>
            <xdr:cNvGraphicFramePr/>
          </xdr:nvGraphicFramePr>
          <xdr:xfrm>
            <a:off x="0" y="0"/>
            <a:ext cx="0" cy="0"/>
          </xdr:xfrm>
          <a:graphic>
            <a:graphicData uri="http://schemas.microsoft.com/office/drawing/2010/slicer">
              <sle:slicer xmlns:sle="http://schemas.microsoft.com/office/drawing/2010/slicer" name="salary 1"/>
            </a:graphicData>
          </a:graphic>
        </xdr:graphicFrame>
      </mc:Choice>
      <mc:Fallback>
        <xdr:sp macro="" textlink="">
          <xdr:nvSpPr>
            <xdr:cNvPr id="0" name=""/>
            <xdr:cNvSpPr>
              <a:spLocks noTextEdit="1"/>
            </xdr:cNvSpPr>
          </xdr:nvSpPr>
          <xdr:spPr>
            <a:xfrm>
              <a:off x="11148060" y="408432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4</xdr:col>
      <xdr:colOff>68580</xdr:colOff>
      <xdr:row>1</xdr:row>
      <xdr:rowOff>171450</xdr:rowOff>
    </xdr:from>
    <xdr:to>
      <xdr:col>11</xdr:col>
      <xdr:colOff>502920</xdr:colOff>
      <xdr:row>16</xdr:row>
      <xdr:rowOff>171450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76200</xdr:colOff>
      <xdr:row>17</xdr:row>
      <xdr:rowOff>3810</xdr:rowOff>
    </xdr:from>
    <xdr:to>
      <xdr:col>11</xdr:col>
      <xdr:colOff>510540</xdr:colOff>
      <xdr:row>32</xdr:row>
      <xdr:rowOff>3810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472440</xdr:colOff>
      <xdr:row>1</xdr:row>
      <xdr:rowOff>171450</xdr:rowOff>
    </xdr:from>
    <xdr:to>
      <xdr:col>19</xdr:col>
      <xdr:colOff>731520</xdr:colOff>
      <xdr:row>16</xdr:row>
      <xdr:rowOff>171450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11</xdr:col>
      <xdr:colOff>609600</xdr:colOff>
      <xdr:row>16</xdr:row>
      <xdr:rowOff>15240</xdr:rowOff>
    </xdr:from>
    <xdr:to>
      <xdr:col>16</xdr:col>
      <xdr:colOff>182880</xdr:colOff>
      <xdr:row>29</xdr:row>
      <xdr:rowOff>104775</xdr:rowOff>
    </xdr:to>
    <mc:AlternateContent xmlns:mc="http://schemas.openxmlformats.org/markup-compatibility/2006" xmlns:a14="http://schemas.microsoft.com/office/drawing/2010/main">
      <mc:Choice Requires="a14">
        <xdr:graphicFrame macro="">
          <xdr:nvGraphicFramePr>
            <xdr:cNvPr id="5" name="Yea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6240780" y="294132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68580</xdr:colOff>
      <xdr:row>15</xdr:row>
      <xdr:rowOff>167640</xdr:rowOff>
    </xdr:from>
    <xdr:to>
      <xdr:col>23</xdr:col>
      <xdr:colOff>15240</xdr:colOff>
      <xdr:row>29</xdr:row>
      <xdr:rowOff>74295</xdr:rowOff>
    </xdr:to>
    <mc:AlternateContent xmlns:mc="http://schemas.openxmlformats.org/markup-compatibility/2006" xmlns:a14="http://schemas.microsoft.com/office/drawing/2010/main">
      <mc:Choice Requires="a14">
        <xdr:graphicFrame macro="">
          <xdr:nvGraphicFramePr>
            <xdr:cNvPr id="6" name="Car"/>
            <xdr:cNvGraphicFramePr/>
          </xdr:nvGraphicFramePr>
          <xdr:xfrm>
            <a:off x="0" y="0"/>
            <a:ext cx="0" cy="0"/>
          </xdr:xfrm>
          <a:graphic>
            <a:graphicData uri="http://schemas.microsoft.com/office/drawing/2010/slicer">
              <sle:slicer xmlns:sle="http://schemas.microsoft.com/office/drawing/2010/slicer" name="Car"/>
            </a:graphicData>
          </a:graphic>
        </xdr:graphicFrame>
      </mc:Choice>
      <mc:Fallback xmlns="">
        <xdr:sp macro="" textlink="">
          <xdr:nvSpPr>
            <xdr:cNvPr id="0" name=""/>
            <xdr:cNvSpPr>
              <a:spLocks noTextEdit="1"/>
            </xdr:cNvSpPr>
          </xdr:nvSpPr>
          <xdr:spPr>
            <a:xfrm>
              <a:off x="9928860" y="29108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182880</xdr:colOff>
      <xdr:row>16</xdr:row>
      <xdr:rowOff>22860</xdr:rowOff>
    </xdr:from>
    <xdr:to>
      <xdr:col>20</xdr:col>
      <xdr:colOff>38100</xdr:colOff>
      <xdr:row>29</xdr:row>
      <xdr:rowOff>112395</xdr:rowOff>
    </xdr:to>
    <mc:AlternateContent xmlns:mc="http://schemas.openxmlformats.org/markup-compatibility/2006" xmlns:a14="http://schemas.microsoft.com/office/drawing/2010/main">
      <mc:Choice Requires="a14">
        <xdr:graphicFrame macro="">
          <xdr:nvGraphicFramePr>
            <xdr:cNvPr id="7" name="Price"/>
            <xdr:cNvGraphicFramePr/>
          </xdr:nvGraphicFramePr>
          <xdr:xfrm>
            <a:off x="0" y="0"/>
            <a:ext cx="0" cy="0"/>
          </xdr:xfrm>
          <a:graphic>
            <a:graphicData uri="http://schemas.microsoft.com/office/drawing/2010/slicer">
              <sle:slicer xmlns:sle="http://schemas.microsoft.com/office/drawing/2010/slicer" name="Price"/>
            </a:graphicData>
          </a:graphic>
        </xdr:graphicFrame>
      </mc:Choice>
      <mc:Fallback xmlns="">
        <xdr:sp macro="" textlink="">
          <xdr:nvSpPr>
            <xdr:cNvPr id="0" name=""/>
            <xdr:cNvSpPr>
              <a:spLocks noTextEdit="1"/>
            </xdr:cNvSpPr>
          </xdr:nvSpPr>
          <xdr:spPr>
            <a:xfrm>
              <a:off x="8069580" y="29489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15240</xdr:colOff>
      <xdr:row>2</xdr:row>
      <xdr:rowOff>30480</xdr:rowOff>
    </xdr:from>
    <xdr:to>
      <xdr:col>22</xdr:col>
      <xdr:colOff>662940</xdr:colOff>
      <xdr:row>15</xdr:row>
      <xdr:rowOff>120015</xdr:rowOff>
    </xdr:to>
    <mc:AlternateContent xmlns:mc="http://schemas.openxmlformats.org/markup-compatibility/2006" xmlns:a14="http://schemas.microsoft.com/office/drawing/2010/main">
      <mc:Choice Requires="a14">
        <xdr:graphicFrame macro="">
          <xdr:nvGraphicFramePr>
            <xdr:cNvPr id="8" name="Brand"/>
            <xdr:cNvGraphicFramePr/>
          </xdr:nvGraphicFramePr>
          <xdr:xfrm>
            <a:off x="0" y="0"/>
            <a:ext cx="0" cy="0"/>
          </xdr:xfrm>
          <a:graphic>
            <a:graphicData uri="http://schemas.microsoft.com/office/drawing/2010/slicer">
              <sle:slicer xmlns:sle="http://schemas.microsoft.com/office/drawing/2010/slicer" name="Brand"/>
            </a:graphicData>
          </a:graphic>
        </xdr:graphicFrame>
      </mc:Choice>
      <mc:Fallback xmlns="">
        <xdr:sp macro="" textlink="">
          <xdr:nvSpPr>
            <xdr:cNvPr id="0" name=""/>
            <xdr:cNvSpPr>
              <a:spLocks noTextEdit="1"/>
            </xdr:cNvSpPr>
          </xdr:nvSpPr>
          <xdr:spPr>
            <a:xfrm>
              <a:off x="9403080" y="3962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r:id="rId1" refreshedBy="Neeraj Appari" refreshedDate="45283.685967592595" createdVersion="4" refreshedVersion="4" minRefreshableVersion="3" recordCount="4">
  <cacheSource type="worksheet">
    <worksheetSource ref="A1:D5" sheet="Sheet1"/>
  </cacheSource>
  <cacheFields count="4">
    <cacheField name="name" numFmtId="0">
      <sharedItems count="4">
        <s v="rahul"/>
        <s v="yash"/>
        <s v="saeel"/>
        <s v="om"/>
      </sharedItems>
    </cacheField>
    <cacheField name="ph" numFmtId="0">
      <sharedItems containsSemiMixedTypes="0" containsString="0" containsNumber="1" containsInteger="1" minValue="123" maxValue="1124" count="4">
        <n v="123"/>
        <n v="1124"/>
        <n v="441"/>
        <n v="414"/>
      </sharedItems>
    </cacheField>
    <cacheField name="sr" numFmtId="0">
      <sharedItems containsSemiMixedTypes="0" containsString="0" containsNumber="1" containsInteger="1" minValue="1" maxValue="4" count="4">
        <n v="1"/>
        <n v="2"/>
        <n v="3"/>
        <n v="4"/>
      </sharedItems>
    </cacheField>
    <cacheField name="date" numFmtId="0">
      <sharedItems containsSemiMixedTypes="0" containsString="0" containsNumber="1" containsInteger="1" minValue="12" maxValue="13" count="2">
        <n v="12"/>
        <n v="13"/>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Neeraj Appari" refreshedDate="45284.483095023148" createdVersion="4" refreshedVersion="4" minRefreshableVersion="3" recordCount="4">
  <cacheSource type="worksheet">
    <worksheetSource name="Table1"/>
  </cacheSource>
  <cacheFields count="3">
    <cacheField name="Name" numFmtId="0">
      <sharedItems count="4">
        <s v="yash"/>
        <s v="saeel"/>
        <s v="rahul"/>
        <s v="om"/>
      </sharedItems>
    </cacheField>
    <cacheField name="id" numFmtId="0">
      <sharedItems containsSemiMixedTypes="0" containsString="0" containsNumber="1" containsInteger="1" minValue="1" maxValue="4" count="4">
        <n v="1"/>
        <n v="2"/>
        <n v="3"/>
        <n v="4"/>
      </sharedItems>
    </cacheField>
    <cacheField name="salary" numFmtId="0">
      <sharedItems containsSemiMixedTypes="0" containsString="0" containsNumber="1" containsInteger="1" minValue="10000" maxValue="13000" count="4">
        <n v="10000"/>
        <n v="11000"/>
        <n v="12000"/>
        <n v="13000"/>
      </sharedItems>
    </cacheField>
  </cacheFields>
  <extLst>
    <ext xmlns:x14="http://schemas.microsoft.com/office/spreadsheetml/2009/9/main" uri="{725AE2AE-9491-48be-B2B4-4EB974FC3084}">
      <x14:pivotCacheDefinition pivotCacheId="1"/>
    </ext>
  </extLst>
</pivotCacheDefinition>
</file>

<file path=xl/pivotCache/pivotCacheDefinition3.xml><?xml version="1.0" encoding="utf-8"?>
<pivotCacheDefinition xmlns="http://schemas.openxmlformats.org/spreadsheetml/2006/main" xmlns:r="http://schemas.openxmlformats.org/officeDocument/2006/relationships" r:id="rId1" refreshedBy="Neeraj Appari" refreshedDate="45284.485176504626" createdVersion="4" refreshedVersion="4" minRefreshableVersion="3" recordCount="4">
  <cacheSource type="worksheet">
    <worksheetSource ref="A1:C5" sheet="Sheet2"/>
  </cacheSource>
  <cacheFields count="3">
    <cacheField name="name" numFmtId="0">
      <sharedItems count="4">
        <s v="yash"/>
        <s v="saeel"/>
        <s v="rahul"/>
        <s v="om"/>
      </sharedItems>
    </cacheField>
    <cacheField name="id" numFmtId="0">
      <sharedItems containsSemiMixedTypes="0" containsString="0" containsNumber="1" containsInteger="1" minValue="1" maxValue="4" count="4">
        <n v="1"/>
        <n v="2"/>
        <n v="3"/>
        <n v="4"/>
      </sharedItems>
    </cacheField>
    <cacheField name="salary" numFmtId="0">
      <sharedItems containsSemiMixedTypes="0" containsString="0" containsNumber="1" containsInteger="1" minValue="10000" maxValue="13000" count="4">
        <n v="10000"/>
        <n v="11000"/>
        <n v="12000"/>
        <n v="13000"/>
      </sharedItems>
    </cacheField>
  </cacheFields>
  <extLst>
    <ext xmlns:x14="http://schemas.microsoft.com/office/spreadsheetml/2009/9/main" uri="{725AE2AE-9491-48be-B2B4-4EB974FC3084}">
      <x14:pivotCacheDefinition pivotCacheId="2"/>
    </ext>
  </extLst>
</pivotCacheDefinition>
</file>

<file path=xl/pivotCache/pivotCacheDefinition4.xml><?xml version="1.0" encoding="utf-8"?>
<pivotCacheDefinition xmlns="http://schemas.openxmlformats.org/spreadsheetml/2006/main" xmlns:r="http://schemas.openxmlformats.org/officeDocument/2006/relationships" r:id="rId1" refreshedBy="Neeraj Appari" refreshedDate="45284.781437500002" createdVersion="4" refreshedVersion="4" minRefreshableVersion="3" recordCount="18">
  <cacheSource type="worksheet">
    <worksheetSource ref="I1:N19" sheet="Sheet3"/>
  </cacheSource>
  <cacheFields count="6">
    <cacheField name="Year" numFmtId="0">
      <sharedItems containsSemiMixedTypes="0" containsString="0" containsNumber="1" containsInteger="1" minValue="1948" maxValue="1950" count="3">
        <n v="1948"/>
        <n v="1949"/>
        <n v="1950"/>
      </sharedItems>
    </cacheField>
    <cacheField name="Height" numFmtId="0">
      <sharedItems containsSemiMixedTypes="0" containsString="0" containsNumber="1" minValue="1.214" maxValue="9.1199999999999992" count="18">
        <n v="1.214"/>
        <n v="1.3540000000000001"/>
        <n v="1.569"/>
        <n v="1.948"/>
        <n v="2.2650000000000001"/>
        <n v="2.7309999999999999"/>
        <n v="3.0249999999999999"/>
        <n v="3.5619999999999998"/>
        <n v="3.9790000000000001"/>
        <n v="4.42"/>
        <n v="4.5629999999999997"/>
        <n v="5.3849999999999998"/>
        <n v="5.5540000000000003"/>
        <n v="5.4649999999999999"/>
        <n v="5.8250000000000002"/>
        <n v="6.8760000000000003"/>
        <n v="7.8230000000000004"/>
        <n v="9.1199999999999992"/>
      </sharedItems>
    </cacheField>
    <cacheField name="Weight" numFmtId="0">
      <sharedItems containsSemiMixedTypes="0" containsString="0" containsNumber="1" minValue="0.24299999999999999" maxValue="0.56399999999999995" count="18">
        <n v="0.24299999999999999"/>
        <n v="0.26"/>
        <n v="0.27800000000000002"/>
        <n v="0.29699999999999999"/>
        <n v="0.31"/>
        <n v="0.32200000000000001"/>
        <n v="0.33500000000000002"/>
        <n v="0.35"/>
        <n v="0.36099999999999999"/>
        <n v="0.379"/>
        <n v="0.39100000000000001"/>
        <n v="0.42599999999999999"/>
        <n v="0.441"/>
        <n v="0.46"/>
        <n v="0.48499999999999999"/>
        <n v="0.50600000000000001"/>
        <n v="0.53800000000000003"/>
        <n v="0.56399999999999995"/>
      </sharedItems>
    </cacheField>
    <cacheField name="Car" numFmtId="0">
      <sharedItems count="18">
        <s v="Turismo"/>
        <s v="Zenterno"/>
        <s v="Visione"/>
        <s v="Buffalo"/>
        <s v="Dominator"/>
        <s v="Vigero"/>
        <s v="Super Daimond"/>
        <s v="XA21"/>
        <s v="Virtue"/>
        <s v="Monroe"/>
        <s v="Weevil"/>
        <s v="Gauntlet"/>
        <s v="Comet"/>
        <s v="Adder"/>
        <s v="Nero"/>
        <s v="Bison"/>
        <s v="F620"/>
        <s v="Rapid GT"/>
      </sharedItems>
    </cacheField>
    <cacheField name="Brand" numFmtId="0">
      <sharedItems count="10">
        <s v="Grotti"/>
        <s v="Peggasi"/>
        <s v="Bravado"/>
        <s v="Vapid"/>
        <s v="Declasse"/>
        <s v="Enus"/>
        <s v="Ocelot"/>
        <s v="BF"/>
        <s v="Pfister"/>
        <s v="Truffade"/>
      </sharedItems>
    </cacheField>
    <cacheField name="Price" numFmtId="0">
      <sharedItems containsSemiMixedTypes="0" containsString="0" containsNumber="1" containsInteger="1" minValue="10000" maxValue="90000" count="17">
        <n v="25000"/>
        <n v="10000"/>
        <n v="50000"/>
        <n v="90000"/>
        <n v="14400"/>
        <n v="53000"/>
        <n v="34000"/>
        <n v="61000"/>
        <n v="60600"/>
        <n v="14100"/>
        <n v="64320"/>
        <n v="34600"/>
        <n v="12400"/>
        <n v="17760"/>
        <n v="75320"/>
        <n v="23550"/>
        <n v="89000"/>
      </sharedItems>
    </cacheField>
  </cacheFields>
  <extLst>
    <ext xmlns:x14="http://schemas.microsoft.com/office/spreadsheetml/2009/9/main" uri="{725AE2AE-9491-48be-B2B4-4EB974FC3084}">
      <x14:pivotCacheDefinition pivotCacheId="3"/>
    </ext>
  </extLst>
</pivotCacheDefinition>
</file>

<file path=xl/pivotCache/pivotCacheRecords1.xml><?xml version="1.0" encoding="utf-8"?>
<pivotCacheRecords xmlns="http://schemas.openxmlformats.org/spreadsheetml/2006/main" xmlns:r="http://schemas.openxmlformats.org/officeDocument/2006/relationships" count="4">
  <r>
    <x v="0"/>
    <x v="0"/>
    <x v="0"/>
    <x v="0"/>
  </r>
  <r>
    <x v="1"/>
    <x v="1"/>
    <x v="1"/>
    <x v="0"/>
  </r>
  <r>
    <x v="2"/>
    <x v="2"/>
    <x v="2"/>
    <x v="1"/>
  </r>
  <r>
    <x v="3"/>
    <x v="3"/>
    <x v="3"/>
    <x v="1"/>
  </r>
</pivotCacheRecords>
</file>

<file path=xl/pivotCache/pivotCacheRecords2.xml><?xml version="1.0" encoding="utf-8"?>
<pivotCacheRecords xmlns="http://schemas.openxmlformats.org/spreadsheetml/2006/main" xmlns:r="http://schemas.openxmlformats.org/officeDocument/2006/relationships" count="4">
  <r>
    <x v="0"/>
    <x v="0"/>
    <x v="0"/>
  </r>
  <r>
    <x v="1"/>
    <x v="1"/>
    <x v="1"/>
  </r>
  <r>
    <x v="2"/>
    <x v="2"/>
    <x v="2"/>
  </r>
  <r>
    <x v="3"/>
    <x v="3"/>
    <x v="3"/>
  </r>
</pivotCacheRecords>
</file>

<file path=xl/pivotCache/pivotCacheRecords3.xml><?xml version="1.0" encoding="utf-8"?>
<pivotCacheRecords xmlns="http://schemas.openxmlformats.org/spreadsheetml/2006/main" xmlns:r="http://schemas.openxmlformats.org/officeDocument/2006/relationships" count="4">
  <r>
    <x v="0"/>
    <x v="0"/>
    <x v="0"/>
  </r>
  <r>
    <x v="1"/>
    <x v="1"/>
    <x v="1"/>
  </r>
  <r>
    <x v="2"/>
    <x v="2"/>
    <x v="2"/>
  </r>
  <r>
    <x v="3"/>
    <x v="3"/>
    <x v="3"/>
  </r>
</pivotCacheRecords>
</file>

<file path=xl/pivotCache/pivotCacheRecords4.xml><?xml version="1.0" encoding="utf-8"?>
<pivotCacheRecords xmlns="http://schemas.openxmlformats.org/spreadsheetml/2006/main" xmlns:r="http://schemas.openxmlformats.org/officeDocument/2006/relationships" count="18">
  <r>
    <x v="0"/>
    <x v="0"/>
    <x v="0"/>
    <x v="0"/>
    <x v="0"/>
    <x v="0"/>
  </r>
  <r>
    <x v="0"/>
    <x v="1"/>
    <x v="1"/>
    <x v="1"/>
    <x v="1"/>
    <x v="1"/>
  </r>
  <r>
    <x v="0"/>
    <x v="2"/>
    <x v="2"/>
    <x v="2"/>
    <x v="0"/>
    <x v="2"/>
  </r>
  <r>
    <x v="0"/>
    <x v="3"/>
    <x v="3"/>
    <x v="3"/>
    <x v="2"/>
    <x v="3"/>
  </r>
  <r>
    <x v="0"/>
    <x v="4"/>
    <x v="4"/>
    <x v="4"/>
    <x v="3"/>
    <x v="1"/>
  </r>
  <r>
    <x v="0"/>
    <x v="5"/>
    <x v="5"/>
    <x v="5"/>
    <x v="4"/>
    <x v="4"/>
  </r>
  <r>
    <x v="1"/>
    <x v="6"/>
    <x v="6"/>
    <x v="6"/>
    <x v="5"/>
    <x v="5"/>
  </r>
  <r>
    <x v="1"/>
    <x v="7"/>
    <x v="7"/>
    <x v="7"/>
    <x v="6"/>
    <x v="6"/>
  </r>
  <r>
    <x v="1"/>
    <x v="8"/>
    <x v="8"/>
    <x v="8"/>
    <x v="6"/>
    <x v="7"/>
  </r>
  <r>
    <x v="1"/>
    <x v="9"/>
    <x v="9"/>
    <x v="9"/>
    <x v="1"/>
    <x v="8"/>
  </r>
  <r>
    <x v="1"/>
    <x v="10"/>
    <x v="10"/>
    <x v="10"/>
    <x v="7"/>
    <x v="9"/>
  </r>
  <r>
    <x v="1"/>
    <x v="11"/>
    <x v="11"/>
    <x v="11"/>
    <x v="2"/>
    <x v="10"/>
  </r>
  <r>
    <x v="2"/>
    <x v="12"/>
    <x v="12"/>
    <x v="12"/>
    <x v="8"/>
    <x v="11"/>
  </r>
  <r>
    <x v="2"/>
    <x v="13"/>
    <x v="13"/>
    <x v="13"/>
    <x v="9"/>
    <x v="12"/>
  </r>
  <r>
    <x v="2"/>
    <x v="14"/>
    <x v="14"/>
    <x v="14"/>
    <x v="9"/>
    <x v="13"/>
  </r>
  <r>
    <x v="2"/>
    <x v="15"/>
    <x v="15"/>
    <x v="15"/>
    <x v="2"/>
    <x v="14"/>
  </r>
  <r>
    <x v="2"/>
    <x v="16"/>
    <x v="16"/>
    <x v="16"/>
    <x v="6"/>
    <x v="15"/>
  </r>
  <r>
    <x v="2"/>
    <x v="17"/>
    <x v="17"/>
    <x v="17"/>
    <x v="3"/>
    <x v="1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PivotTable1" cacheId="16"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
  <location ref="A1:K8" firstHeaderRow="1" firstDataRow="3" firstDataCol="1"/>
  <pivotFields count="4">
    <pivotField axis="axisRow" showAll="0">
      <items count="5">
        <item x="3"/>
        <item x="0"/>
        <item x="2"/>
        <item x="1"/>
        <item t="default"/>
      </items>
    </pivotField>
    <pivotField axis="axisCol" showAll="0">
      <items count="5">
        <item x="0"/>
        <item x="3"/>
        <item x="2"/>
        <item x="1"/>
        <item t="default"/>
      </items>
    </pivotField>
    <pivotField dataField="1" showAll="0">
      <items count="5">
        <item x="0"/>
        <item x="1"/>
        <item x="2"/>
        <item x="3"/>
        <item t="default"/>
      </items>
    </pivotField>
    <pivotField dataField="1" showAll="0">
      <items count="3">
        <item x="0"/>
        <item x="1"/>
        <item t="default"/>
      </items>
    </pivotField>
  </pivotFields>
  <rowFields count="1">
    <field x="0"/>
  </rowFields>
  <rowItems count="5">
    <i>
      <x/>
    </i>
    <i>
      <x v="1"/>
    </i>
    <i>
      <x v="2"/>
    </i>
    <i>
      <x v="3"/>
    </i>
    <i t="grand">
      <x/>
    </i>
  </rowItems>
  <colFields count="2">
    <field x="-2"/>
    <field x="1"/>
  </colFields>
  <colItems count="10">
    <i>
      <x/>
      <x/>
    </i>
    <i r="1">
      <x v="1"/>
    </i>
    <i r="1">
      <x v="2"/>
    </i>
    <i r="1">
      <x v="3"/>
    </i>
    <i i="1">
      <x v="1"/>
      <x/>
    </i>
    <i r="1" i="1">
      <x v="1"/>
    </i>
    <i r="1" i="1">
      <x v="2"/>
    </i>
    <i r="1" i="1">
      <x v="3"/>
    </i>
    <i t="grand">
      <x/>
    </i>
    <i t="grand" i="1">
      <x/>
    </i>
  </colItems>
  <dataFields count="2">
    <dataField name="Sum of sr" fld="2" baseField="0" baseItem="0"/>
    <dataField name="Sum of date" fld="3" baseField="0" baseItem="0"/>
  </dataFields>
  <chartFormats count="2">
    <chartFormat chart="0" format="1"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2" cacheId="18"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C20:D22" firstHeaderRow="1" firstDataRow="1" firstDataCol="1" rowPageCount="1" colPageCount="1"/>
  <pivotFields count="3">
    <pivotField axis="axisRow" showAll="0">
      <items count="5">
        <item h="1" x="3"/>
        <item x="2"/>
        <item h="1" x="1"/>
        <item h="1" x="0"/>
        <item t="default"/>
      </items>
    </pivotField>
    <pivotField showAll="0">
      <items count="5">
        <item x="0"/>
        <item x="1"/>
        <item x="2"/>
        <item x="3"/>
        <item t="default"/>
      </items>
    </pivotField>
    <pivotField axis="axisPage" dataField="1" showAll="0">
      <items count="5">
        <item x="0"/>
        <item x="1"/>
        <item x="2"/>
        <item x="3"/>
        <item t="default"/>
      </items>
    </pivotField>
  </pivotFields>
  <rowFields count="1">
    <field x="0"/>
  </rowFields>
  <rowItems count="2">
    <i>
      <x v="1"/>
    </i>
    <i t="grand">
      <x/>
    </i>
  </rowItems>
  <colItems count="1">
    <i/>
  </colItems>
  <pageFields count="1">
    <pageField fld="2" hier="-1"/>
  </pageFields>
  <dataFields count="1">
    <dataField name="Sum of salary"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17" applyNumberFormats="0" applyBorderFormats="0" applyFontFormats="0" applyPatternFormats="0" applyAlignmentFormats="0" applyWidthHeightFormats="1" dataCaption="Values" updatedVersion="4" minRefreshableVersion="3" useAutoFormatting="1" itemPrintTitles="1" createdVersion="4" indent="0" showHeaders="0" outline="1" outlineData="1" multipleFieldFilters="0">
  <location ref="M20:O21" firstHeaderRow="0" firstDataRow="1" firstDataCol="1" rowPageCount="1" colPageCount="1"/>
  <pivotFields count="3">
    <pivotField axis="axisCol" showAll="0">
      <items count="5">
        <item h="1" x="3"/>
        <item h="1" x="2"/>
        <item h="1" x="1"/>
        <item x="0"/>
        <item t="default"/>
      </items>
    </pivotField>
    <pivotField axis="axisPage" showAll="0">
      <items count="5">
        <item x="0"/>
        <item x="1"/>
        <item x="2"/>
        <item x="3"/>
        <item t="default"/>
      </items>
    </pivotField>
    <pivotField dataField="1" showAll="0">
      <items count="5">
        <item x="0"/>
        <item x="1"/>
        <item x="2"/>
        <item x="3"/>
        <item t="default"/>
      </items>
    </pivotField>
  </pivotFields>
  <rowItems count="1">
    <i/>
  </rowItems>
  <colFields count="1">
    <field x="0"/>
  </colFields>
  <colItems count="2">
    <i>
      <x v="3"/>
    </i>
    <i t="grand">
      <x/>
    </i>
  </colItems>
  <pageFields count="1">
    <pageField fld="1" hier="-1"/>
  </pageFields>
  <dataFields count="1">
    <dataField name="Sum of salary"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2" cacheId="19"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3">
  <location ref="A3:B11" firstHeaderRow="1" firstDataRow="1" firstDataCol="1"/>
  <pivotFields count="6">
    <pivotField axis="axisRow" showAll="0">
      <items count="4">
        <item x="0"/>
        <item x="1"/>
        <item x="2"/>
        <item t="default"/>
      </items>
    </pivotField>
    <pivotField showAll="0">
      <items count="19">
        <item x="0"/>
        <item x="1"/>
        <item x="2"/>
        <item x="3"/>
        <item x="4"/>
        <item x="5"/>
        <item x="6"/>
        <item x="7"/>
        <item x="8"/>
        <item x="9"/>
        <item x="10"/>
        <item x="11"/>
        <item x="13"/>
        <item x="12"/>
        <item x="14"/>
        <item x="15"/>
        <item x="16"/>
        <item x="17"/>
        <item t="default"/>
      </items>
    </pivotField>
    <pivotField showAll="0">
      <items count="19">
        <item x="0"/>
        <item x="1"/>
        <item x="2"/>
        <item x="3"/>
        <item x="4"/>
        <item x="5"/>
        <item x="6"/>
        <item x="7"/>
        <item x="8"/>
        <item x="9"/>
        <item x="10"/>
        <item x="11"/>
        <item x="12"/>
        <item x="13"/>
        <item x="14"/>
        <item x="15"/>
        <item x="16"/>
        <item x="17"/>
        <item t="default"/>
      </items>
    </pivotField>
    <pivotField axis="axisRow" showAll="0">
      <items count="19">
        <item x="13"/>
        <item x="15"/>
        <item x="3"/>
        <item x="12"/>
        <item x="4"/>
        <item x="16"/>
        <item x="11"/>
        <item x="9"/>
        <item x="14"/>
        <item x="17"/>
        <item x="6"/>
        <item x="0"/>
        <item x="5"/>
        <item x="8"/>
        <item x="2"/>
        <item x="10"/>
        <item x="7"/>
        <item x="1"/>
        <item t="default"/>
      </items>
    </pivotField>
    <pivotField axis="axisRow" showAll="0">
      <items count="11">
        <item h="1" x="7"/>
        <item h="1" x="2"/>
        <item h="1" x="4"/>
        <item h="1" x="5"/>
        <item h="1" x="0"/>
        <item x="6"/>
        <item h="1" x="1"/>
        <item h="1" x="8"/>
        <item h="1" x="9"/>
        <item h="1" x="3"/>
        <item t="default"/>
      </items>
    </pivotField>
    <pivotField dataField="1" showAll="0">
      <items count="18">
        <item x="1"/>
        <item x="12"/>
        <item x="9"/>
        <item x="4"/>
        <item x="13"/>
        <item x="15"/>
        <item x="0"/>
        <item x="6"/>
        <item x="11"/>
        <item x="2"/>
        <item x="5"/>
        <item x="8"/>
        <item x="7"/>
        <item x="10"/>
        <item x="14"/>
        <item x="16"/>
        <item x="3"/>
        <item t="default"/>
      </items>
    </pivotField>
  </pivotFields>
  <rowFields count="3">
    <field x="0"/>
    <field x="4"/>
    <field x="3"/>
  </rowFields>
  <rowItems count="8">
    <i>
      <x v="1"/>
    </i>
    <i r="1">
      <x v="5"/>
    </i>
    <i r="2">
      <x v="13"/>
    </i>
    <i r="2">
      <x v="16"/>
    </i>
    <i>
      <x v="2"/>
    </i>
    <i r="1">
      <x v="5"/>
    </i>
    <i r="2">
      <x v="5"/>
    </i>
    <i t="grand">
      <x/>
    </i>
  </rowItems>
  <colItems count="1">
    <i/>
  </colItems>
  <dataFields count="1">
    <dataField name="Sum of Price" fld="5" baseField="0" baseItem="0"/>
  </dataFields>
  <chartFormats count="3">
    <chartFormat chart="0" format="2"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Name" sourceName="Name">
  <pivotTables>
    <pivotTable tabId="2" name="PivotTable1"/>
  </pivotTables>
  <data>
    <tabular pivotCacheId="1">
      <items count="4">
        <i x="3"/>
        <i x="2"/>
        <i x="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id" sourceName="id">
  <pivotTables>
    <pivotTable tabId="2" name="PivotTable1"/>
  </pivotTables>
  <data>
    <tabular pivotCacheId="1">
      <items count="4">
        <i x="0" s="1"/>
        <i x="1" s="1" nd="1"/>
        <i x="2" s="1" nd="1"/>
        <i x="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salary" sourceName="salary">
  <pivotTables>
    <pivotTable tabId="2" name="PivotTable1"/>
  </pivotTables>
  <data>
    <tabular pivotCacheId="1">
      <items count="4">
        <i x="0" s="1"/>
        <i x="1" s="1" nd="1"/>
        <i x="2" s="1" nd="1"/>
        <i x="3"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name1" sourceName="name">
  <pivotTables>
    <pivotTable tabId="2" name="PivotTable2"/>
  </pivotTables>
  <data>
    <tabular pivotCacheId="2">
      <items count="4">
        <i x="3"/>
        <i x="2" s="1"/>
        <i x="1"/>
        <i x="0"/>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id1" sourceName="id">
  <pivotTables>
    <pivotTable tabId="2" name="PivotTable2"/>
  </pivotTables>
  <data>
    <tabular pivotCacheId="2">
      <items count="4">
        <i x="2" s="1"/>
        <i x="0" s="1" nd="1"/>
        <i x="1" s="1" nd="1"/>
        <i x="3"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alary1" sourceName="salary">
  <pivotTables>
    <pivotTable tabId="2" name="PivotTable2"/>
  </pivotTables>
  <data>
    <tabular pivotCacheId="2">
      <items count="4">
        <i x="2" s="1"/>
        <i x="0" s="1" nd="1"/>
        <i x="1" s="1" nd="1"/>
        <i x="3"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Year" sourceName="Year">
  <pivotTables>
    <pivotTable tabId="6" name="PivotTable2"/>
  </pivotTables>
  <data>
    <tabular pivotCacheId="3">
      <items count="3">
        <i x="1" s="1"/>
        <i x="2" s="1"/>
        <i x="0"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Car" sourceName="Car">
  <pivotTables>
    <pivotTable tabId="6" name="PivotTable2"/>
  </pivotTables>
  <data>
    <tabular pivotCacheId="3">
      <items count="18">
        <i x="16" s="1"/>
        <i x="8" s="1"/>
        <i x="7" s="1"/>
        <i x="13" s="1" nd="1"/>
        <i x="15" s="1" nd="1"/>
        <i x="3" s="1" nd="1"/>
        <i x="12" s="1" nd="1"/>
        <i x="4" s="1" nd="1"/>
        <i x="11" s="1" nd="1"/>
        <i x="9" s="1" nd="1"/>
        <i x="14" s="1" nd="1"/>
        <i x="17" s="1" nd="1"/>
        <i x="6" s="1" nd="1"/>
        <i x="0" s="1" nd="1"/>
        <i x="5" s="1" nd="1"/>
        <i x="2" s="1" nd="1"/>
        <i x="10" s="1" nd="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ice" sourceName="Price">
  <pivotTables>
    <pivotTable tabId="6" name="PivotTable2"/>
  </pivotTables>
  <data>
    <tabular pivotCacheId="3">
      <items count="17">
        <i x="15" s="1"/>
        <i x="6" s="1"/>
        <i x="7" s="1"/>
        <i x="1" s="1" nd="1"/>
        <i x="12" s="1" nd="1"/>
        <i x="9" s="1" nd="1"/>
        <i x="4" s="1" nd="1"/>
        <i x="13" s="1" nd="1"/>
        <i x="0" s="1" nd="1"/>
        <i x="11" s="1" nd="1"/>
        <i x="2" s="1" nd="1"/>
        <i x="5" s="1" nd="1"/>
        <i x="8" s="1" nd="1"/>
        <i x="10" s="1" nd="1"/>
        <i x="14" s="1" nd="1"/>
        <i x="16" s="1" nd="1"/>
        <i x="3"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Brand" sourceName="Brand">
  <pivotTables>
    <pivotTable tabId="6" name="PivotTable2"/>
  </pivotTables>
  <data>
    <tabular pivotCacheId="3">
      <items count="10">
        <i x="7"/>
        <i x="2"/>
        <i x="4"/>
        <i x="5"/>
        <i x="0"/>
        <i x="6" s="1"/>
        <i x="1"/>
        <i x="8"/>
        <i x="9"/>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Name" cache="Slicer_Name" caption="Name" rowHeight="234950"/>
  <slicer name="id" cache="Slicer_id" caption="id" rowHeight="234950"/>
  <slicer name="salary" cache="Slicer_salary" caption="salary" rowHeight="234950"/>
  <slicer name="name 1" cache="Slicer_name1" caption="name" rowHeight="234950"/>
  <slicer name="id 1" cache="Slicer_id1" caption="id" rowHeight="234950"/>
  <slicer name="salary 1" cache="Slicer_salary1" caption="salary" rowHeight="234950"/>
</slicers>
</file>

<file path=xl/slicers/slicer2.xml><?xml version="1.0" encoding="utf-8"?>
<slicers xmlns="http://schemas.microsoft.com/office/spreadsheetml/2009/9/main" xmlns:mc="http://schemas.openxmlformats.org/markup-compatibility/2006" xmlns:x="http://schemas.openxmlformats.org/spreadsheetml/2006/main" mc:Ignorable="x">
  <slicer name="Year" cache="Slicer_Year" caption="Year" rowHeight="234950"/>
  <slicer name="Car" cache="Slicer_Car" caption="Car" rowHeight="234950"/>
  <slicer name="Price" cache="Slicer_Price" caption="Price" rowHeight="234950"/>
  <slicer name="Brand" cache="Slicer_Brand" caption="Brand" rowHeight="234950"/>
</slicers>
</file>

<file path=xl/tables/table1.xml><?xml version="1.0" encoding="utf-8"?>
<table xmlns="http://schemas.openxmlformats.org/spreadsheetml/2006/main" id="1" name="Table1" displayName="Table1" ref="L12:N16" totalsRowShown="0">
  <autoFilter ref="L12:N16"/>
  <sortState ref="L13:N16">
    <sortCondition ref="L12:L16"/>
  </sortState>
  <tableColumns count="3">
    <tableColumn id="1" name="Name"/>
    <tableColumn id="2" name="id"/>
    <tableColumn id="3" name="salary"/>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K2:M4" totalsRowShown="0">
  <autoFilter ref="K2:M4"/>
  <tableColumns count="3">
    <tableColumn id="1" name="250"/>
    <tableColumn id="2" name="2502"/>
    <tableColumn id="3" name="250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T24"/>
  <sheetViews>
    <sheetView workbookViewId="0">
      <selection activeCell="O9" sqref="O9"/>
    </sheetView>
  </sheetViews>
  <sheetFormatPr defaultRowHeight="14.4"/>
  <cols>
    <col min="1" max="1" width="12.5546875" style="1" bestFit="1" customWidth="1"/>
    <col min="2" max="2" width="15.5546875" customWidth="1"/>
    <col min="3" max="3" width="4" customWidth="1"/>
    <col min="4" max="4" width="4" style="1" customWidth="1"/>
    <col min="5" max="5" width="5" customWidth="1"/>
    <col min="6" max="6" width="11.21875" bestFit="1" customWidth="1"/>
    <col min="7" max="8" width="4" customWidth="1"/>
    <col min="9" max="9" width="5" customWidth="1"/>
    <col min="10" max="10" width="13.6640625" bestFit="1" customWidth="1"/>
    <col min="11" max="11" width="16" bestFit="1" customWidth="1"/>
  </cols>
  <sheetData>
    <row r="1" spans="1:20">
      <c r="A1"/>
      <c r="B1" s="3" t="s">
        <v>13</v>
      </c>
      <c r="D1"/>
    </row>
    <row r="2" spans="1:20">
      <c r="A2"/>
      <c r="B2" t="s">
        <v>11</v>
      </c>
      <c r="D2"/>
      <c r="F2" t="s">
        <v>12</v>
      </c>
      <c r="J2" t="s">
        <v>14</v>
      </c>
      <c r="K2" t="s">
        <v>15</v>
      </c>
    </row>
    <row r="3" spans="1:20">
      <c r="A3" s="3" t="s">
        <v>9</v>
      </c>
      <c r="B3">
        <v>123</v>
      </c>
      <c r="C3">
        <v>414</v>
      </c>
      <c r="D3">
        <v>441</v>
      </c>
      <c r="E3">
        <v>1124</v>
      </c>
      <c r="F3">
        <v>123</v>
      </c>
      <c r="G3">
        <v>414</v>
      </c>
      <c r="H3">
        <v>441</v>
      </c>
      <c r="I3">
        <v>1124</v>
      </c>
    </row>
    <row r="4" spans="1:20">
      <c r="A4" s="4" t="s">
        <v>3</v>
      </c>
      <c r="B4" s="5"/>
      <c r="C4" s="5">
        <v>4</v>
      </c>
      <c r="D4" s="5"/>
      <c r="E4" s="5"/>
      <c r="F4" s="5"/>
      <c r="G4" s="5">
        <v>13</v>
      </c>
      <c r="H4" s="5"/>
      <c r="I4" s="5"/>
      <c r="J4" s="5">
        <v>4</v>
      </c>
      <c r="K4" s="5">
        <v>13</v>
      </c>
      <c r="Q4" t="s">
        <v>16</v>
      </c>
      <c r="R4" t="s">
        <v>17</v>
      </c>
      <c r="S4" t="s">
        <v>18</v>
      </c>
      <c r="T4" t="s">
        <v>19</v>
      </c>
    </row>
    <row r="5" spans="1:20">
      <c r="A5" s="4" t="s">
        <v>0</v>
      </c>
      <c r="B5" s="5">
        <v>1</v>
      </c>
      <c r="C5" s="5"/>
      <c r="D5" s="5"/>
      <c r="E5" s="5"/>
      <c r="F5" s="5">
        <v>12</v>
      </c>
      <c r="G5" s="5"/>
      <c r="H5" s="5"/>
      <c r="I5" s="5"/>
      <c r="J5" s="5">
        <v>1</v>
      </c>
      <c r="K5" s="5">
        <v>12</v>
      </c>
      <c r="Q5" t="s">
        <v>4</v>
      </c>
      <c r="R5">
        <v>20</v>
      </c>
      <c r="S5" s="6">
        <v>8.3333333333333329E-2</v>
      </c>
    </row>
    <row r="6" spans="1:20">
      <c r="A6" s="4" t="s">
        <v>2</v>
      </c>
      <c r="B6" s="5"/>
      <c r="C6" s="5"/>
      <c r="D6" s="5">
        <v>3</v>
      </c>
      <c r="E6" s="5"/>
      <c r="F6" s="5"/>
      <c r="G6" s="5"/>
      <c r="H6" s="5">
        <v>13</v>
      </c>
      <c r="I6" s="5"/>
      <c r="J6" s="5">
        <v>3</v>
      </c>
      <c r="K6" s="5">
        <v>13</v>
      </c>
      <c r="Q6" t="s">
        <v>5</v>
      </c>
      <c r="R6">
        <v>10</v>
      </c>
    </row>
    <row r="7" spans="1:20">
      <c r="A7" s="4" t="s">
        <v>1</v>
      </c>
      <c r="B7" s="5"/>
      <c r="C7" s="5"/>
      <c r="D7" s="5"/>
      <c r="E7" s="5">
        <v>2</v>
      </c>
      <c r="F7" s="5"/>
      <c r="G7" s="5"/>
      <c r="H7" s="5"/>
      <c r="I7" s="5">
        <v>12</v>
      </c>
      <c r="J7" s="5">
        <v>2</v>
      </c>
      <c r="K7" s="5">
        <v>12</v>
      </c>
      <c r="Q7" t="s">
        <v>6</v>
      </c>
      <c r="R7">
        <v>30</v>
      </c>
    </row>
    <row r="8" spans="1:20">
      <c r="A8" s="4" t="s">
        <v>10</v>
      </c>
      <c r="B8" s="5">
        <v>1</v>
      </c>
      <c r="C8" s="5">
        <v>4</v>
      </c>
      <c r="D8" s="5">
        <v>3</v>
      </c>
      <c r="E8" s="5">
        <v>2</v>
      </c>
      <c r="F8" s="5">
        <v>12</v>
      </c>
      <c r="G8" s="5">
        <v>13</v>
      </c>
      <c r="H8" s="5">
        <v>13</v>
      </c>
      <c r="I8" s="5">
        <v>12</v>
      </c>
      <c r="J8" s="5">
        <v>10</v>
      </c>
      <c r="K8" s="5">
        <v>50</v>
      </c>
      <c r="Q8" t="s">
        <v>7</v>
      </c>
      <c r="R8">
        <v>20</v>
      </c>
    </row>
    <row r="9" spans="1:20">
      <c r="A9"/>
      <c r="D9" s="2">
        <v>17</v>
      </c>
      <c r="Q9" t="s">
        <v>8</v>
      </c>
      <c r="R9">
        <v>20</v>
      </c>
    </row>
    <row r="10" spans="1:20">
      <c r="A10"/>
      <c r="D10" s="2">
        <v>18</v>
      </c>
      <c r="Q10" s="31"/>
      <c r="R10" s="31"/>
    </row>
    <row r="11" spans="1:20">
      <c r="A11"/>
      <c r="Q11" s="31"/>
      <c r="R11" s="31"/>
    </row>
    <row r="12" spans="1:20">
      <c r="A12"/>
      <c r="Q12" s="31"/>
      <c r="R12" s="31"/>
    </row>
    <row r="13" spans="1:20">
      <c r="A13"/>
      <c r="Q13" s="31"/>
      <c r="R13" s="31"/>
    </row>
    <row r="14" spans="1:20">
      <c r="A14"/>
      <c r="Q14" s="31"/>
      <c r="R14" s="31"/>
    </row>
    <row r="15" spans="1:20">
      <c r="A15"/>
    </row>
    <row r="16" spans="1:20">
      <c r="A16"/>
    </row>
    <row r="17" spans="1:18">
      <c r="A17"/>
    </row>
    <row r="18" spans="1:18">
      <c r="A18"/>
    </row>
    <row r="23" spans="1:18">
      <c r="Q23" t="e">
        <f>VLOOKUP(Q8,R5:R9,1,FALSE)</f>
        <v>#N/A</v>
      </c>
      <c r="R23">
        <v>4</v>
      </c>
    </row>
    <row r="24" spans="1:18">
      <c r="Q24">
        <f>VLOOKUP(Q8,Q4:R9,2,FALSE)</f>
        <v>20</v>
      </c>
    </row>
  </sheetData>
  <mergeCells count="2">
    <mergeCell ref="Q10:Q14"/>
    <mergeCell ref="R10:R14"/>
  </mergeCells>
  <dataValidations count="1">
    <dataValidation type="time" allowBlank="1" showInputMessage="1" showErrorMessage="1" sqref="S4:T9">
      <formula1>0.0416666666666667</formula1>
      <formula2>0.416666666666667</formula2>
    </dataValidation>
  </dataValidations>
  <pageMargins left="0.7" right="0.7" top="0.75" bottom="0.75" header="0.3" footer="0.3"/>
  <pageSetup paperSize="7" orientation="portrait" r:id="rId2"/>
  <rowBreaks count="2" manualBreakCount="2">
    <brk id="2" max="16383" man="1"/>
    <brk id="13" max="16383" man="1"/>
  </rowBreaks>
  <colBreaks count="1" manualBreakCount="1">
    <brk id="4" max="1048575" man="1"/>
  </colBreaks>
  <drawing r:id="rId3"/>
  <extLst>
    <ext xmlns:x14="http://schemas.microsoft.com/office/spreadsheetml/2009/9/main" uri="{05C60535-1F16-4fd2-B633-F4F36F0B64E0}">
      <x14:sparklineGroups xmlns:xm="http://schemas.microsoft.com/office/excel/2006/main">
        <x14:sparklineGroup type="column" displayEmptyCellsAs="gap" displayXAxis="1">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Sheet1!R5:R9</xm:f>
              <xm:sqref>R10</xm:sqref>
            </x14:sparkline>
          </x14:sparklines>
        </x14:sparklineGroup>
      </x14:sparklineGroup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O31"/>
  <sheetViews>
    <sheetView topLeftCell="A4" workbookViewId="0">
      <selection activeCell="C33" sqref="C33"/>
    </sheetView>
  </sheetViews>
  <sheetFormatPr defaultRowHeight="14.4"/>
  <cols>
    <col min="3" max="3" width="12.5546875" customWidth="1"/>
    <col min="4" max="4" width="12.33203125" customWidth="1"/>
    <col min="12" max="12" width="10.44140625" customWidth="1"/>
    <col min="13" max="13" width="12.33203125" customWidth="1"/>
    <col min="14" max="14" width="7.109375" customWidth="1"/>
    <col min="15" max="15" width="13" customWidth="1"/>
    <col min="16" max="17" width="6" customWidth="1"/>
    <col min="18" max="18" width="10.77734375" customWidth="1"/>
    <col min="19" max="19" width="6.6640625" customWidth="1"/>
    <col min="20" max="20" width="6" customWidth="1"/>
    <col min="21" max="21" width="6.6640625" customWidth="1"/>
    <col min="22" max="22" width="10.77734375" customWidth="1"/>
    <col min="23" max="23" width="6.6640625" customWidth="1"/>
    <col min="24" max="24" width="10.6640625" bestFit="1" customWidth="1"/>
    <col min="25" max="25" width="10.77734375" bestFit="1" customWidth="1"/>
  </cols>
  <sheetData>
    <row r="1" spans="1:14">
      <c r="A1" t="s">
        <v>20</v>
      </c>
      <c r="B1" t="s">
        <v>21</v>
      </c>
      <c r="C1" t="s">
        <v>22</v>
      </c>
      <c r="F1" t="s">
        <v>26</v>
      </c>
      <c r="K1" t="s">
        <v>20</v>
      </c>
      <c r="L1" t="s">
        <v>28</v>
      </c>
      <c r="M1" t="s">
        <v>22</v>
      </c>
    </row>
    <row r="2" spans="1:14">
      <c r="A2" t="s">
        <v>1</v>
      </c>
      <c r="B2">
        <v>1</v>
      </c>
      <c r="C2">
        <v>10000</v>
      </c>
      <c r="E2" t="s">
        <v>20</v>
      </c>
      <c r="F2" t="s">
        <v>1</v>
      </c>
      <c r="G2" t="s">
        <v>2</v>
      </c>
      <c r="H2" t="s">
        <v>0</v>
      </c>
      <c r="I2" t="s">
        <v>3</v>
      </c>
      <c r="K2" t="s">
        <v>1</v>
      </c>
      <c r="L2">
        <v>11</v>
      </c>
      <c r="M2">
        <v>15000</v>
      </c>
    </row>
    <row r="3" spans="1:14">
      <c r="A3" t="s">
        <v>2</v>
      </c>
      <c r="B3">
        <v>2</v>
      </c>
      <c r="C3">
        <v>11000</v>
      </c>
      <c r="E3" t="s">
        <v>21</v>
      </c>
      <c r="F3">
        <v>1</v>
      </c>
      <c r="G3">
        <v>2</v>
      </c>
      <c r="H3">
        <v>3</v>
      </c>
      <c r="I3">
        <v>4</v>
      </c>
      <c r="K3" t="s">
        <v>2</v>
      </c>
      <c r="L3">
        <v>112</v>
      </c>
      <c r="M3">
        <v>16000</v>
      </c>
    </row>
    <row r="4" spans="1:14">
      <c r="A4" t="s">
        <v>0</v>
      </c>
      <c r="B4">
        <v>3</v>
      </c>
      <c r="C4">
        <v>12000</v>
      </c>
      <c r="E4" t="s">
        <v>22</v>
      </c>
      <c r="F4">
        <v>10000</v>
      </c>
      <c r="G4">
        <v>11000</v>
      </c>
      <c r="H4">
        <v>12000</v>
      </c>
      <c r="I4">
        <v>14000</v>
      </c>
      <c r="K4" t="s">
        <v>0</v>
      </c>
      <c r="L4">
        <v>13</v>
      </c>
      <c r="M4">
        <v>17000</v>
      </c>
    </row>
    <row r="5" spans="1:14">
      <c r="A5" t="s">
        <v>3</v>
      </c>
      <c r="B5">
        <v>4</v>
      </c>
      <c r="C5">
        <v>13000</v>
      </c>
      <c r="K5" t="s">
        <v>3</v>
      </c>
      <c r="L5">
        <v>14</v>
      </c>
      <c r="M5">
        <v>18000</v>
      </c>
    </row>
    <row r="6" spans="1:14">
      <c r="B6" t="s">
        <v>25</v>
      </c>
    </row>
    <row r="8" spans="1:14">
      <c r="A8" t="s">
        <v>31</v>
      </c>
    </row>
    <row r="9" spans="1:14">
      <c r="E9" t="s">
        <v>24</v>
      </c>
      <c r="F9" s="8" t="s">
        <v>23</v>
      </c>
      <c r="G9" s="7" t="s">
        <v>21</v>
      </c>
      <c r="H9" s="7" t="s">
        <v>22</v>
      </c>
    </row>
    <row r="10" spans="1:14">
      <c r="A10" t="s">
        <v>34</v>
      </c>
      <c r="F10" t="s">
        <v>2</v>
      </c>
      <c r="G10">
        <f>VLOOKUP(F10,A2:C5,2,FALSE)</f>
        <v>2</v>
      </c>
    </row>
    <row r="12" spans="1:14">
      <c r="L12" t="s">
        <v>30</v>
      </c>
      <c r="M12" t="s">
        <v>21</v>
      </c>
      <c r="N12" t="s">
        <v>22</v>
      </c>
    </row>
    <row r="13" spans="1:14">
      <c r="E13" t="s">
        <v>27</v>
      </c>
      <c r="F13" s="8" t="s">
        <v>23</v>
      </c>
      <c r="G13" s="7" t="s">
        <v>21</v>
      </c>
      <c r="H13" s="7" t="s">
        <v>22</v>
      </c>
      <c r="L13" t="s">
        <v>1</v>
      </c>
      <c r="M13">
        <v>1</v>
      </c>
      <c r="N13">
        <v>10000</v>
      </c>
    </row>
    <row r="14" spans="1:14">
      <c r="F14" t="s">
        <v>2</v>
      </c>
      <c r="G14">
        <f>HLOOKUP(F14,F2:I4,2,FALSE)</f>
        <v>2</v>
      </c>
      <c r="L14" t="s">
        <v>2</v>
      </c>
      <c r="M14">
        <v>2</v>
      </c>
      <c r="N14">
        <v>11000</v>
      </c>
    </row>
    <row r="15" spans="1:14">
      <c r="L15" t="s">
        <v>0</v>
      </c>
      <c r="M15">
        <v>3</v>
      </c>
      <c r="N15">
        <v>12000</v>
      </c>
    </row>
    <row r="16" spans="1:14">
      <c r="L16" t="s">
        <v>3</v>
      </c>
      <c r="M16">
        <v>4</v>
      </c>
      <c r="N16">
        <v>13000</v>
      </c>
    </row>
    <row r="17" spans="1:15">
      <c r="E17" t="s">
        <v>29</v>
      </c>
      <c r="F17" s="8" t="s">
        <v>23</v>
      </c>
      <c r="G17" s="7" t="s">
        <v>21</v>
      </c>
      <c r="H17" s="7" t="s">
        <v>22</v>
      </c>
    </row>
    <row r="18" spans="1:15">
      <c r="C18" s="3" t="s">
        <v>22</v>
      </c>
      <c r="D18" t="s">
        <v>32</v>
      </c>
      <c r="F18" t="s">
        <v>2</v>
      </c>
      <c r="G18" t="e">
        <f>Xloo</f>
        <v>#NAME?</v>
      </c>
      <c r="M18" s="3" t="s">
        <v>21</v>
      </c>
      <c r="N18" t="s">
        <v>32</v>
      </c>
    </row>
    <row r="20" spans="1:15">
      <c r="C20" s="3" t="s">
        <v>9</v>
      </c>
      <c r="D20" t="s">
        <v>33</v>
      </c>
      <c r="N20" t="s">
        <v>1</v>
      </c>
      <c r="O20" t="s">
        <v>10</v>
      </c>
    </row>
    <row r="21" spans="1:15">
      <c r="C21" s="4" t="s">
        <v>0</v>
      </c>
      <c r="D21" s="5">
        <v>12000</v>
      </c>
      <c r="M21" t="s">
        <v>33</v>
      </c>
      <c r="N21" s="5">
        <v>10000</v>
      </c>
      <c r="O21" s="5">
        <v>10000</v>
      </c>
    </row>
    <row r="22" spans="1:15">
      <c r="C22" s="4" t="s">
        <v>10</v>
      </c>
      <c r="D22" s="5">
        <v>12000</v>
      </c>
    </row>
    <row r="25" spans="1:15">
      <c r="A25">
        <v>250</v>
      </c>
      <c r="B25">
        <v>250</v>
      </c>
      <c r="C25">
        <v>250</v>
      </c>
    </row>
    <row r="26" spans="1:15">
      <c r="A26">
        <v>250</v>
      </c>
      <c r="B26">
        <v>250</v>
      </c>
      <c r="C26">
        <v>250</v>
      </c>
    </row>
    <row r="27" spans="1:15">
      <c r="A27">
        <v>250</v>
      </c>
      <c r="B27">
        <v>250</v>
      </c>
      <c r="C27">
        <v>250</v>
      </c>
    </row>
    <row r="29" spans="1:15">
      <c r="A29" t="s">
        <v>1</v>
      </c>
      <c r="B29">
        <v>11</v>
      </c>
      <c r="C29">
        <v>15000</v>
      </c>
    </row>
    <row r="30" spans="1:15">
      <c r="A30" t="s">
        <v>2</v>
      </c>
      <c r="B30">
        <v>112</v>
      </c>
      <c r="C30">
        <v>16000</v>
      </c>
    </row>
    <row r="31" spans="1:15">
      <c r="A31" t="s">
        <v>0</v>
      </c>
      <c r="B31">
        <v>13</v>
      </c>
      <c r="C31">
        <v>17000</v>
      </c>
    </row>
  </sheetData>
  <dataValidations count="2">
    <dataValidation type="list" allowBlank="1" showInputMessage="1" showErrorMessage="1" sqref="F10 F18">
      <formula1>$A$2:$A$5</formula1>
    </dataValidation>
    <dataValidation type="list" allowBlank="1" showInputMessage="1" showErrorMessage="1" sqref="F14">
      <formula1>$F$2:$I$2</formula1>
    </dataValidation>
  </dataValidations>
  <pageMargins left="0.7" right="0.7" top="0.75" bottom="0.75" header="0.3" footer="0.3"/>
  <pageSetup orientation="portrait" r:id="rId3"/>
  <drawing r:id="rId4"/>
  <tableParts count="1">
    <tablePart r:id="rId5"/>
  </tableParts>
  <extLst>
    <ext xmlns:x14="http://schemas.microsoft.com/office/spreadsheetml/2009/9/main" uri="{A8765BA9-456A-4dab-B4F3-ACF838C121DE}">
      <x14:slicerList>
        <x14:slicer r:id="rId6"/>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3:B11"/>
  <sheetViews>
    <sheetView tabSelected="1" workbookViewId="0">
      <selection activeCell="X12" sqref="X12"/>
    </sheetView>
  </sheetViews>
  <sheetFormatPr defaultRowHeight="14.4"/>
  <cols>
    <col min="1" max="1" width="12.5546875" customWidth="1"/>
    <col min="2" max="2" width="11.5546875" customWidth="1"/>
    <col min="3" max="19" width="6" customWidth="1"/>
    <col min="20" max="20" width="10.77734375" customWidth="1"/>
    <col min="21" max="21" width="9.21875" customWidth="1"/>
    <col min="22" max="22" width="8" customWidth="1"/>
    <col min="23" max="23" width="10.21875" customWidth="1"/>
    <col min="24" max="24" width="8" customWidth="1"/>
    <col min="25" max="25" width="10.21875" customWidth="1"/>
    <col min="26" max="26" width="8" customWidth="1"/>
    <col min="27" max="27" width="10.21875" customWidth="1"/>
    <col min="28" max="28" width="8" customWidth="1"/>
    <col min="29" max="29" width="10.21875" customWidth="1"/>
    <col min="30" max="30" width="8" customWidth="1"/>
    <col min="31" max="31" width="10.21875" customWidth="1"/>
    <col min="32" max="32" width="8" customWidth="1"/>
    <col min="33" max="33" width="10.21875" customWidth="1"/>
    <col min="34" max="34" width="8" customWidth="1"/>
    <col min="35" max="35" width="10.21875" customWidth="1"/>
    <col min="36" max="36" width="7" customWidth="1"/>
    <col min="37" max="37" width="9.21875" customWidth="1"/>
    <col min="38" max="38" width="10.77734375" customWidth="1"/>
    <col min="39" max="39" width="6" customWidth="1"/>
    <col min="40" max="40" width="7.109375" customWidth="1"/>
    <col min="41" max="41" width="6.5546875" customWidth="1"/>
    <col min="42" max="42" width="10" bestFit="1" customWidth="1"/>
    <col min="43" max="43" width="6" customWidth="1"/>
    <col min="44" max="44" width="8.21875" customWidth="1"/>
    <col min="45" max="45" width="7.77734375" customWidth="1"/>
    <col min="46" max="46" width="6" customWidth="1"/>
    <col min="47" max="47" width="8.44140625" customWidth="1"/>
    <col min="48" max="48" width="14.109375" bestFit="1" customWidth="1"/>
    <col min="49" max="49" width="7.77734375" customWidth="1"/>
    <col min="50" max="50" width="6.44140625" customWidth="1"/>
    <col min="51" max="51" width="6.109375" customWidth="1"/>
    <col min="52" max="52" width="7.109375" customWidth="1"/>
    <col min="53" max="53" width="6.6640625" customWidth="1"/>
    <col min="54" max="54" width="6" customWidth="1"/>
    <col min="55" max="55" width="8.6640625" customWidth="1"/>
    <col min="56" max="56" width="17.77734375" bestFit="1" customWidth="1"/>
    <col min="57" max="57" width="18.33203125" bestFit="1" customWidth="1"/>
    <col min="58" max="58" width="16.33203125" bestFit="1" customWidth="1"/>
  </cols>
  <sheetData>
    <row r="3" spans="1:2">
      <c r="A3" s="3" t="s">
        <v>9</v>
      </c>
      <c r="B3" t="s">
        <v>74</v>
      </c>
    </row>
    <row r="4" spans="1:2">
      <c r="A4" s="4">
        <v>1949</v>
      </c>
      <c r="B4" s="5">
        <v>95000</v>
      </c>
    </row>
    <row r="5" spans="1:2">
      <c r="A5" s="9" t="s">
        <v>69</v>
      </c>
      <c r="B5" s="5">
        <v>95000</v>
      </c>
    </row>
    <row r="6" spans="1:2">
      <c r="A6" s="10" t="s">
        <v>52</v>
      </c>
      <c r="B6" s="5">
        <v>61000</v>
      </c>
    </row>
    <row r="7" spans="1:2">
      <c r="A7" s="10" t="s">
        <v>51</v>
      </c>
      <c r="B7" s="5">
        <v>34000</v>
      </c>
    </row>
    <row r="8" spans="1:2">
      <c r="A8" s="4">
        <v>1950</v>
      </c>
      <c r="B8" s="5">
        <v>23550</v>
      </c>
    </row>
    <row r="9" spans="1:2">
      <c r="A9" s="9" t="s">
        <v>69</v>
      </c>
      <c r="B9" s="5">
        <v>23550</v>
      </c>
    </row>
    <row r="10" spans="1:2">
      <c r="A10" s="10" t="s">
        <v>60</v>
      </c>
      <c r="B10" s="5">
        <v>23550</v>
      </c>
    </row>
    <row r="11" spans="1:2">
      <c r="A11" s="4" t="s">
        <v>10</v>
      </c>
      <c r="B11" s="5">
        <v>118550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N19"/>
  <sheetViews>
    <sheetView workbookViewId="0">
      <selection activeCell="F24" sqref="F24"/>
    </sheetView>
  </sheetViews>
  <sheetFormatPr defaultRowHeight="14.4"/>
  <cols>
    <col min="6" max="6" width="9.109375" bestFit="1" customWidth="1"/>
    <col min="7" max="7" width="10.5546875" bestFit="1" customWidth="1"/>
    <col min="19" max="19" width="18.109375" bestFit="1" customWidth="1"/>
    <col min="20" max="20" width="12.88671875" bestFit="1" customWidth="1"/>
    <col min="21" max="21" width="13.5546875" bestFit="1" customWidth="1"/>
    <col min="22" max="22" width="11.5546875" bestFit="1" customWidth="1"/>
  </cols>
  <sheetData>
    <row r="1" spans="1:14">
      <c r="A1" t="s">
        <v>20</v>
      </c>
      <c r="B1" t="s">
        <v>21</v>
      </c>
      <c r="C1" t="s">
        <v>22</v>
      </c>
      <c r="D1" t="s">
        <v>35</v>
      </c>
      <c r="E1" t="s">
        <v>36</v>
      </c>
      <c r="F1" t="s">
        <v>37</v>
      </c>
      <c r="G1" t="s">
        <v>39</v>
      </c>
      <c r="I1" t="s">
        <v>40</v>
      </c>
      <c r="J1" t="s">
        <v>41</v>
      </c>
      <c r="K1" t="s">
        <v>42</v>
      </c>
      <c r="L1" t="s">
        <v>43</v>
      </c>
      <c r="M1" t="s">
        <v>62</v>
      </c>
      <c r="N1" t="s">
        <v>73</v>
      </c>
    </row>
    <row r="2" spans="1:14">
      <c r="A2" t="s">
        <v>1</v>
      </c>
      <c r="B2">
        <v>1</v>
      </c>
      <c r="C2">
        <v>10000</v>
      </c>
      <c r="D2">
        <v>150</v>
      </c>
      <c r="E2">
        <v>1000</v>
      </c>
      <c r="F2" t="s">
        <v>146</v>
      </c>
      <c r="G2">
        <f>SUM(C2,E2,-D2)</f>
        <v>10850</v>
      </c>
      <c r="I2">
        <v>1948</v>
      </c>
      <c r="J2">
        <v>1.214</v>
      </c>
      <c r="K2">
        <v>0.24299999999999999</v>
      </c>
      <c r="L2" t="s">
        <v>44</v>
      </c>
      <c r="M2" t="s">
        <v>63</v>
      </c>
      <c r="N2">
        <v>25000</v>
      </c>
    </row>
    <row r="3" spans="1:14">
      <c r="A3" t="s">
        <v>2</v>
      </c>
      <c r="B3">
        <v>2</v>
      </c>
      <c r="C3">
        <v>11000</v>
      </c>
      <c r="D3">
        <v>270</v>
      </c>
      <c r="E3">
        <v>1200</v>
      </c>
      <c r="F3">
        <f t="shared" ref="F3:F5" si="0">SUM(D3,C3,-E3)</f>
        <v>10070</v>
      </c>
      <c r="G3">
        <f t="shared" ref="G3:G5" si="1">SUM(C3,E3,-D3)</f>
        <v>11930</v>
      </c>
      <c r="I3">
        <v>1948</v>
      </c>
      <c r="J3">
        <v>1.3540000000000001</v>
      </c>
      <c r="K3">
        <v>0.26</v>
      </c>
      <c r="L3" t="s">
        <v>45</v>
      </c>
      <c r="M3" t="s">
        <v>64</v>
      </c>
      <c r="N3">
        <v>10000</v>
      </c>
    </row>
    <row r="4" spans="1:14">
      <c r="A4" t="s">
        <v>0</v>
      </c>
      <c r="B4">
        <v>3</v>
      </c>
      <c r="C4">
        <v>12000</v>
      </c>
      <c r="D4">
        <v>180</v>
      </c>
      <c r="E4">
        <v>700</v>
      </c>
      <c r="F4">
        <f t="shared" si="0"/>
        <v>11480</v>
      </c>
      <c r="G4">
        <f t="shared" si="1"/>
        <v>12520</v>
      </c>
      <c r="I4">
        <v>1948</v>
      </c>
      <c r="J4">
        <v>1.569</v>
      </c>
      <c r="K4">
        <v>0.27800000000000002</v>
      </c>
      <c r="L4" t="s">
        <v>46</v>
      </c>
      <c r="M4" t="s">
        <v>63</v>
      </c>
      <c r="N4">
        <v>50000</v>
      </c>
    </row>
    <row r="5" spans="1:14">
      <c r="A5" t="s">
        <v>3</v>
      </c>
      <c r="B5">
        <v>4</v>
      </c>
      <c r="C5">
        <v>13000</v>
      </c>
      <c r="D5">
        <v>390</v>
      </c>
      <c r="E5">
        <v>500</v>
      </c>
      <c r="F5">
        <f t="shared" si="0"/>
        <v>12890</v>
      </c>
      <c r="G5">
        <f t="shared" si="1"/>
        <v>13110</v>
      </c>
      <c r="I5">
        <v>1948</v>
      </c>
      <c r="J5">
        <v>1.948</v>
      </c>
      <c r="K5">
        <v>0.29699999999999999</v>
      </c>
      <c r="L5" t="s">
        <v>47</v>
      </c>
      <c r="M5" t="s">
        <v>65</v>
      </c>
      <c r="N5">
        <v>90000</v>
      </c>
    </row>
    <row r="6" spans="1:14">
      <c r="I6">
        <v>1948</v>
      </c>
      <c r="J6">
        <v>2.2650000000000001</v>
      </c>
      <c r="K6">
        <v>0.31</v>
      </c>
      <c r="L6" t="s">
        <v>48</v>
      </c>
      <c r="M6" t="s">
        <v>66</v>
      </c>
      <c r="N6">
        <v>10000</v>
      </c>
    </row>
    <row r="7" spans="1:14">
      <c r="I7">
        <v>1948</v>
      </c>
      <c r="J7">
        <v>2.7309999999999999</v>
      </c>
      <c r="K7">
        <v>0.32200000000000001</v>
      </c>
      <c r="L7" t="s">
        <v>49</v>
      </c>
      <c r="M7" t="s">
        <v>67</v>
      </c>
      <c r="N7">
        <v>14400</v>
      </c>
    </row>
    <row r="8" spans="1:14">
      <c r="A8" s="31" t="s">
        <v>38</v>
      </c>
      <c r="B8" s="31"/>
      <c r="C8" s="31"/>
      <c r="D8" s="31"/>
      <c r="E8" s="31"/>
      <c r="I8">
        <v>1949</v>
      </c>
      <c r="J8">
        <v>3.0249999999999999</v>
      </c>
      <c r="K8">
        <v>0.33500000000000002</v>
      </c>
      <c r="L8" t="s">
        <v>50</v>
      </c>
      <c r="M8" t="s">
        <v>68</v>
      </c>
      <c r="N8">
        <v>53000</v>
      </c>
    </row>
    <row r="9" spans="1:14">
      <c r="I9">
        <v>1949</v>
      </c>
      <c r="J9">
        <v>3.5619999999999998</v>
      </c>
      <c r="K9">
        <v>0.35</v>
      </c>
      <c r="L9" t="s">
        <v>51</v>
      </c>
      <c r="M9" t="s">
        <v>69</v>
      </c>
      <c r="N9">
        <v>34000</v>
      </c>
    </row>
    <row r="10" spans="1:14">
      <c r="I10">
        <v>1949</v>
      </c>
      <c r="J10">
        <v>3.9790000000000001</v>
      </c>
      <c r="K10">
        <v>0.36099999999999999</v>
      </c>
      <c r="L10" t="s">
        <v>52</v>
      </c>
      <c r="M10" t="s">
        <v>69</v>
      </c>
      <c r="N10">
        <v>61000</v>
      </c>
    </row>
    <row r="11" spans="1:14">
      <c r="I11">
        <v>1949</v>
      </c>
      <c r="J11">
        <v>4.42</v>
      </c>
      <c r="K11">
        <v>0.379</v>
      </c>
      <c r="L11" t="s">
        <v>53</v>
      </c>
      <c r="M11" t="s">
        <v>64</v>
      </c>
      <c r="N11">
        <v>60600</v>
      </c>
    </row>
    <row r="12" spans="1:14">
      <c r="I12">
        <v>1949</v>
      </c>
      <c r="J12">
        <v>4.5629999999999997</v>
      </c>
      <c r="K12">
        <v>0.39100000000000001</v>
      </c>
      <c r="L12" t="s">
        <v>54</v>
      </c>
      <c r="M12" t="s">
        <v>70</v>
      </c>
      <c r="N12">
        <v>14100</v>
      </c>
    </row>
    <row r="13" spans="1:14">
      <c r="I13">
        <v>1949</v>
      </c>
      <c r="J13">
        <v>5.3849999999999998</v>
      </c>
      <c r="K13">
        <v>0.42599999999999999</v>
      </c>
      <c r="L13" t="s">
        <v>55</v>
      </c>
      <c r="M13" t="s">
        <v>65</v>
      </c>
      <c r="N13">
        <v>64320</v>
      </c>
    </row>
    <row r="14" spans="1:14">
      <c r="I14">
        <v>1950</v>
      </c>
      <c r="J14">
        <v>5.5540000000000003</v>
      </c>
      <c r="K14">
        <v>0.441</v>
      </c>
      <c r="L14" t="s">
        <v>56</v>
      </c>
      <c r="M14" t="s">
        <v>71</v>
      </c>
      <c r="N14">
        <v>34600</v>
      </c>
    </row>
    <row r="15" spans="1:14">
      <c r="I15">
        <v>1950</v>
      </c>
      <c r="J15">
        <v>5.4649999999999999</v>
      </c>
      <c r="K15">
        <v>0.46</v>
      </c>
      <c r="L15" t="s">
        <v>57</v>
      </c>
      <c r="M15" t="s">
        <v>72</v>
      </c>
      <c r="N15">
        <v>12400</v>
      </c>
    </row>
    <row r="16" spans="1:14">
      <c r="I16">
        <v>1950</v>
      </c>
      <c r="J16">
        <v>5.8250000000000002</v>
      </c>
      <c r="K16">
        <v>0.48499999999999999</v>
      </c>
      <c r="L16" t="s">
        <v>58</v>
      </c>
      <c r="M16" t="s">
        <v>72</v>
      </c>
      <c r="N16">
        <v>17760</v>
      </c>
    </row>
    <row r="17" spans="9:14">
      <c r="I17">
        <v>1950</v>
      </c>
      <c r="J17">
        <v>6.8760000000000003</v>
      </c>
      <c r="K17">
        <v>0.50600000000000001</v>
      </c>
      <c r="L17" t="s">
        <v>59</v>
      </c>
      <c r="M17" t="s">
        <v>65</v>
      </c>
      <c r="N17">
        <v>75320</v>
      </c>
    </row>
    <row r="18" spans="9:14">
      <c r="I18">
        <v>1950</v>
      </c>
      <c r="J18">
        <v>7.8230000000000004</v>
      </c>
      <c r="K18">
        <v>0.53800000000000003</v>
      </c>
      <c r="L18" t="s">
        <v>60</v>
      </c>
      <c r="M18" t="s">
        <v>69</v>
      </c>
      <c r="N18">
        <v>23550</v>
      </c>
    </row>
    <row r="19" spans="9:14">
      <c r="I19">
        <v>1950</v>
      </c>
      <c r="J19">
        <v>9.1199999999999992</v>
      </c>
      <c r="K19">
        <v>0.56399999999999995</v>
      </c>
      <c r="L19" t="s">
        <v>61</v>
      </c>
      <c r="M19" t="s">
        <v>66</v>
      </c>
      <c r="N19">
        <v>89000</v>
      </c>
    </row>
  </sheetData>
  <mergeCells count="1">
    <mergeCell ref="A8:E8"/>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42"/>
  <sheetViews>
    <sheetView workbookViewId="0">
      <selection activeCell="A8" sqref="A8:C8"/>
    </sheetView>
  </sheetViews>
  <sheetFormatPr defaultRowHeight="14.4"/>
  <cols>
    <col min="1" max="1" width="23.109375" bestFit="1" customWidth="1"/>
    <col min="2" max="2" width="6.44140625" bestFit="1" customWidth="1"/>
    <col min="3" max="3" width="32.33203125" customWidth="1"/>
  </cols>
  <sheetData>
    <row r="1" spans="1:14">
      <c r="A1" s="32" t="s">
        <v>75</v>
      </c>
      <c r="B1" s="32" t="s">
        <v>76</v>
      </c>
      <c r="C1" s="32" t="s">
        <v>77</v>
      </c>
      <c r="D1" s="34"/>
      <c r="H1">
        <v>500</v>
      </c>
      <c r="I1">
        <v>600</v>
      </c>
    </row>
    <row r="2" spans="1:14">
      <c r="A2" s="33"/>
      <c r="B2" s="33"/>
      <c r="C2" s="33"/>
      <c r="D2" s="35"/>
      <c r="I2">
        <v>600</v>
      </c>
      <c r="K2" t="s">
        <v>166</v>
      </c>
      <c r="L2" t="s">
        <v>167</v>
      </c>
      <c r="M2" t="s">
        <v>168</v>
      </c>
    </row>
    <row r="3" spans="1:14">
      <c r="A3" s="11">
        <v>1</v>
      </c>
      <c r="B3" s="13" t="s">
        <v>78</v>
      </c>
      <c r="C3" s="13" t="s">
        <v>79</v>
      </c>
      <c r="D3" s="11"/>
      <c r="I3">
        <v>600</v>
      </c>
      <c r="J3">
        <v>10</v>
      </c>
      <c r="K3">
        <v>250</v>
      </c>
      <c r="L3">
        <v>250</v>
      </c>
      <c r="M3">
        <v>250</v>
      </c>
    </row>
    <row r="4" spans="1:14">
      <c r="A4" s="11">
        <v>2</v>
      </c>
      <c r="B4" s="13" t="s">
        <v>78</v>
      </c>
      <c r="C4" s="13" t="s">
        <v>80</v>
      </c>
      <c r="D4" s="11"/>
      <c r="E4" t="s">
        <v>117</v>
      </c>
      <c r="I4">
        <v>600</v>
      </c>
      <c r="K4">
        <v>250</v>
      </c>
      <c r="L4">
        <v>250</v>
      </c>
      <c r="M4">
        <v>250</v>
      </c>
    </row>
    <row r="5" spans="1:14">
      <c r="A5" s="11">
        <v>3</v>
      </c>
      <c r="B5" s="13" t="s">
        <v>78</v>
      </c>
      <c r="C5" s="13" t="s">
        <v>81</v>
      </c>
      <c r="D5" s="11"/>
      <c r="E5">
        <v>5000</v>
      </c>
      <c r="I5">
        <v>600</v>
      </c>
    </row>
    <row r="6" spans="1:14">
      <c r="A6" s="11">
        <v>4</v>
      </c>
      <c r="B6" s="13" t="s">
        <v>78</v>
      </c>
      <c r="C6" s="13" t="s">
        <v>82</v>
      </c>
      <c r="D6" s="11"/>
      <c r="I6">
        <v>600</v>
      </c>
    </row>
    <row r="7" spans="1:14">
      <c r="A7" s="11">
        <v>5</v>
      </c>
      <c r="B7" s="13" t="s">
        <v>78</v>
      </c>
      <c r="C7" s="13" t="s">
        <v>83</v>
      </c>
      <c r="D7" s="11"/>
      <c r="E7" s="31" t="s">
        <v>110</v>
      </c>
      <c r="F7" s="31"/>
      <c r="G7" s="31"/>
      <c r="H7" s="31"/>
      <c r="I7" s="31"/>
      <c r="J7" s="31"/>
      <c r="K7" s="31"/>
      <c r="L7" s="31"/>
      <c r="M7" s="31"/>
      <c r="N7" s="31"/>
    </row>
    <row r="8" spans="1:14">
      <c r="A8" s="30">
        <v>6</v>
      </c>
      <c r="B8" s="29" t="s">
        <v>78</v>
      </c>
      <c r="C8" s="13" t="s">
        <v>84</v>
      </c>
      <c r="D8" s="11"/>
    </row>
    <row r="9" spans="1:14">
      <c r="A9" s="11">
        <v>7</v>
      </c>
      <c r="B9" s="13" t="s">
        <v>78</v>
      </c>
      <c r="C9" s="28" t="s">
        <v>85</v>
      </c>
      <c r="D9" s="11"/>
      <c r="E9" t="s">
        <v>111</v>
      </c>
      <c r="K9" t="s">
        <v>133</v>
      </c>
    </row>
    <row r="10" spans="1:14">
      <c r="A10" s="11">
        <v>8</v>
      </c>
      <c r="B10" s="13" t="s">
        <v>78</v>
      </c>
      <c r="C10" s="13" t="s">
        <v>86</v>
      </c>
      <c r="D10" s="11"/>
      <c r="E10" t="s">
        <v>112</v>
      </c>
      <c r="K10" t="s">
        <v>112</v>
      </c>
    </row>
    <row r="11" spans="1:14">
      <c r="A11" s="11">
        <v>9</v>
      </c>
      <c r="B11" s="13" t="s">
        <v>78</v>
      </c>
      <c r="C11" s="13" t="s">
        <v>87</v>
      </c>
      <c r="D11" s="11"/>
      <c r="E11" t="s">
        <v>113</v>
      </c>
      <c r="K11" t="s">
        <v>130</v>
      </c>
    </row>
    <row r="12" spans="1:14">
      <c r="A12" s="12">
        <v>10</v>
      </c>
      <c r="B12" s="14" t="s">
        <v>78</v>
      </c>
      <c r="C12" s="14" t="s">
        <v>88</v>
      </c>
      <c r="D12" s="12"/>
      <c r="E12" t="s">
        <v>114</v>
      </c>
      <c r="K12" t="s">
        <v>131</v>
      </c>
    </row>
    <row r="13" spans="1:14">
      <c r="A13" s="11">
        <v>11</v>
      </c>
      <c r="B13" s="13" t="s">
        <v>78</v>
      </c>
      <c r="C13" s="13" t="s">
        <v>89</v>
      </c>
      <c r="D13" s="11"/>
      <c r="K13" t="s">
        <v>132</v>
      </c>
    </row>
    <row r="14" spans="1:14">
      <c r="A14" s="11">
        <v>12</v>
      </c>
      <c r="B14" s="13" t="s">
        <v>78</v>
      </c>
      <c r="C14" s="13" t="s">
        <v>90</v>
      </c>
      <c r="D14" s="11"/>
      <c r="E14" t="s">
        <v>115</v>
      </c>
      <c r="K14" t="s">
        <v>134</v>
      </c>
    </row>
    <row r="15" spans="1:14">
      <c r="A15" s="19">
        <v>13</v>
      </c>
      <c r="B15" s="20" t="s">
        <v>78</v>
      </c>
      <c r="C15" s="20" t="s">
        <v>91</v>
      </c>
      <c r="D15" s="11"/>
      <c r="E15" t="s">
        <v>112</v>
      </c>
      <c r="K15" t="s">
        <v>114</v>
      </c>
    </row>
    <row r="16" spans="1:14">
      <c r="A16" s="19">
        <v>14</v>
      </c>
      <c r="B16" s="20" t="s">
        <v>78</v>
      </c>
      <c r="C16" s="20" t="s">
        <v>92</v>
      </c>
      <c r="D16" s="11"/>
      <c r="E16" t="s">
        <v>116</v>
      </c>
    </row>
    <row r="17" spans="1:11" ht="18" customHeight="1">
      <c r="A17" s="21">
        <v>15</v>
      </c>
      <c r="B17" s="22" t="s">
        <v>78</v>
      </c>
      <c r="C17" s="23" t="s">
        <v>93</v>
      </c>
      <c r="D17" s="11"/>
      <c r="E17" t="s">
        <v>114</v>
      </c>
      <c r="K17" t="s">
        <v>135</v>
      </c>
    </row>
    <row r="18" spans="1:11">
      <c r="A18" s="24">
        <v>16</v>
      </c>
      <c r="B18" s="25" t="s">
        <v>78</v>
      </c>
      <c r="C18" s="26" t="s">
        <v>94</v>
      </c>
      <c r="D18" s="11"/>
      <c r="K18" t="s">
        <v>112</v>
      </c>
    </row>
    <row r="19" spans="1:11">
      <c r="A19" s="11">
        <v>17</v>
      </c>
      <c r="B19" s="13" t="s">
        <v>78</v>
      </c>
      <c r="C19" s="13" t="s">
        <v>95</v>
      </c>
      <c r="D19" s="11"/>
      <c r="E19" t="s">
        <v>118</v>
      </c>
      <c r="K19" t="s">
        <v>136</v>
      </c>
    </row>
    <row r="20" spans="1:11">
      <c r="A20" s="11">
        <v>18</v>
      </c>
      <c r="B20" s="13" t="s">
        <v>78</v>
      </c>
      <c r="C20" s="13" t="s">
        <v>96</v>
      </c>
      <c r="D20" s="11"/>
      <c r="E20" t="s">
        <v>112</v>
      </c>
      <c r="K20" t="s">
        <v>137</v>
      </c>
    </row>
    <row r="21" spans="1:11">
      <c r="A21" s="11">
        <v>19</v>
      </c>
      <c r="B21" s="13" t="s">
        <v>78</v>
      </c>
      <c r="C21" s="13" t="s">
        <v>97</v>
      </c>
      <c r="D21" s="11"/>
      <c r="E21" t="s">
        <v>119</v>
      </c>
      <c r="K21" t="s">
        <v>114</v>
      </c>
    </row>
    <row r="22" spans="1:11">
      <c r="A22" s="12">
        <v>20</v>
      </c>
      <c r="B22" s="14" t="s">
        <v>78</v>
      </c>
      <c r="C22" s="14" t="s">
        <v>98</v>
      </c>
      <c r="D22" s="12"/>
      <c r="E22" t="s">
        <v>120</v>
      </c>
    </row>
    <row r="23" spans="1:11">
      <c r="A23" s="11">
        <v>21</v>
      </c>
      <c r="B23" s="13" t="s">
        <v>78</v>
      </c>
      <c r="C23" s="13" t="s">
        <v>99</v>
      </c>
      <c r="D23" s="11"/>
      <c r="E23" t="s">
        <v>121</v>
      </c>
    </row>
    <row r="24" spans="1:11">
      <c r="A24" s="11">
        <v>22</v>
      </c>
      <c r="B24" s="13" t="s">
        <v>78</v>
      </c>
      <c r="C24" s="13" t="s">
        <v>100</v>
      </c>
      <c r="D24" s="11"/>
      <c r="E24" t="s">
        <v>114</v>
      </c>
    </row>
    <row r="25" spans="1:11">
      <c r="A25" s="11">
        <v>23</v>
      </c>
      <c r="B25" s="13" t="s">
        <v>78</v>
      </c>
      <c r="C25" s="13" t="s">
        <v>101</v>
      </c>
      <c r="D25" s="11"/>
    </row>
    <row r="26" spans="1:11">
      <c r="E26" t="s">
        <v>122</v>
      </c>
    </row>
    <row r="27" spans="1:11">
      <c r="D27" s="27"/>
      <c r="E27" t="s">
        <v>112</v>
      </c>
    </row>
    <row r="28" spans="1:11">
      <c r="E28" t="s">
        <v>123</v>
      </c>
      <c r="K28" t="s">
        <v>138</v>
      </c>
    </row>
    <row r="29" spans="1:11">
      <c r="E29" t="s">
        <v>124</v>
      </c>
      <c r="K29" t="s">
        <v>112</v>
      </c>
    </row>
    <row r="30" spans="1:11">
      <c r="E30" t="s">
        <v>125</v>
      </c>
      <c r="K30" t="s">
        <v>139</v>
      </c>
    </row>
    <row r="31" spans="1:11">
      <c r="E31" t="s">
        <v>114</v>
      </c>
      <c r="K31" t="s">
        <v>140</v>
      </c>
    </row>
    <row r="32" spans="1:11">
      <c r="K32" t="s">
        <v>141</v>
      </c>
    </row>
    <row r="33" spans="5:11">
      <c r="E33" t="s">
        <v>126</v>
      </c>
      <c r="K33" t="s">
        <v>142</v>
      </c>
    </row>
    <row r="34" spans="5:11">
      <c r="E34" t="s">
        <v>112</v>
      </c>
      <c r="K34" t="s">
        <v>114</v>
      </c>
    </row>
    <row r="35" spans="5:11">
      <c r="E35" t="s">
        <v>127</v>
      </c>
    </row>
    <row r="36" spans="5:11">
      <c r="E36" t="s">
        <v>128</v>
      </c>
      <c r="K36" t="s">
        <v>143</v>
      </c>
    </row>
    <row r="37" spans="5:11">
      <c r="E37" t="s">
        <v>129</v>
      </c>
      <c r="K37" t="s">
        <v>112</v>
      </c>
    </row>
    <row r="38" spans="5:11">
      <c r="E38" t="s">
        <v>114</v>
      </c>
      <c r="K38" t="s">
        <v>130</v>
      </c>
    </row>
    <row r="39" spans="5:11">
      <c r="K39" t="s">
        <v>131</v>
      </c>
    </row>
    <row r="40" spans="5:11">
      <c r="K40" t="s">
        <v>144</v>
      </c>
    </row>
    <row r="41" spans="5:11">
      <c r="K41" t="s">
        <v>114</v>
      </c>
    </row>
    <row r="42" spans="5:11">
      <c r="K42" t="s">
        <v>145</v>
      </c>
    </row>
  </sheetData>
  <mergeCells count="5">
    <mergeCell ref="A1:A2"/>
    <mergeCell ref="B1:B2"/>
    <mergeCell ref="C1:C2"/>
    <mergeCell ref="D1:D2"/>
    <mergeCell ref="E7:N7"/>
  </mergeCells>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31"/>
  <sheetViews>
    <sheetView topLeftCell="B1" workbookViewId="0">
      <selection activeCell="G26" sqref="G26"/>
    </sheetView>
  </sheetViews>
  <sheetFormatPr defaultRowHeight="14.4"/>
  <cols>
    <col min="1" max="1" width="24.44140625" bestFit="1" customWidth="1"/>
    <col min="2" max="2" width="10.77734375" bestFit="1" customWidth="1"/>
    <col min="3" max="3" width="14.44140625" bestFit="1" customWidth="1"/>
  </cols>
  <sheetData>
    <row r="1" spans="1:9">
      <c r="A1" s="38" t="s">
        <v>102</v>
      </c>
      <c r="B1" s="38" t="s">
        <v>76</v>
      </c>
      <c r="C1" s="38" t="s">
        <v>77</v>
      </c>
      <c r="D1" s="36" t="s">
        <v>152</v>
      </c>
      <c r="I1">
        <v>1</v>
      </c>
    </row>
    <row r="2" spans="1:9">
      <c r="A2" s="39"/>
      <c r="B2" s="39"/>
      <c r="C2" s="39"/>
      <c r="D2" s="37"/>
      <c r="E2">
        <v>39</v>
      </c>
      <c r="F2" t="s">
        <v>154</v>
      </c>
      <c r="I2">
        <v>2</v>
      </c>
    </row>
    <row r="3" spans="1:9">
      <c r="A3" s="15">
        <v>1</v>
      </c>
      <c r="B3" s="17" t="s">
        <v>78</v>
      </c>
      <c r="C3" s="17" t="s">
        <v>81</v>
      </c>
      <c r="D3" s="15"/>
      <c r="I3">
        <v>3</v>
      </c>
    </row>
    <row r="4" spans="1:9">
      <c r="A4" s="15">
        <v>2</v>
      </c>
      <c r="B4" s="17" t="s">
        <v>78</v>
      </c>
      <c r="C4" s="17" t="s">
        <v>83</v>
      </c>
      <c r="D4" s="15"/>
      <c r="E4" t="s">
        <v>153</v>
      </c>
      <c r="I4">
        <v>4</v>
      </c>
    </row>
    <row r="5" spans="1:9">
      <c r="A5" s="15">
        <v>3</v>
      </c>
      <c r="B5" s="17" t="s">
        <v>78</v>
      </c>
      <c r="C5" s="17" t="s">
        <v>82</v>
      </c>
      <c r="D5" s="15"/>
      <c r="E5" t="s">
        <v>147</v>
      </c>
      <c r="I5">
        <v>5</v>
      </c>
    </row>
    <row r="6" spans="1:9">
      <c r="A6" s="15">
        <v>4</v>
      </c>
      <c r="B6" s="17" t="s">
        <v>78</v>
      </c>
      <c r="C6" s="17" t="s">
        <v>84</v>
      </c>
      <c r="D6" s="15"/>
      <c r="E6" t="s">
        <v>148</v>
      </c>
    </row>
    <row r="7" spans="1:9">
      <c r="A7" s="15">
        <v>5</v>
      </c>
      <c r="B7" s="17" t="s">
        <v>78</v>
      </c>
      <c r="C7" s="17" t="s">
        <v>80</v>
      </c>
      <c r="D7" s="15"/>
      <c r="E7" t="s">
        <v>149</v>
      </c>
    </row>
    <row r="8" spans="1:9">
      <c r="A8" s="15">
        <v>6</v>
      </c>
      <c r="B8" s="17" t="s">
        <v>78</v>
      </c>
      <c r="C8" s="17" t="s">
        <v>79</v>
      </c>
      <c r="D8" s="15"/>
      <c r="E8" t="s">
        <v>150</v>
      </c>
    </row>
    <row r="9" spans="1:9">
      <c r="A9" s="15">
        <v>7</v>
      </c>
      <c r="B9" s="17" t="s">
        <v>78</v>
      </c>
      <c r="C9" s="17" t="s">
        <v>85</v>
      </c>
      <c r="D9" s="15"/>
      <c r="E9" t="s">
        <v>151</v>
      </c>
    </row>
    <row r="10" spans="1:9">
      <c r="A10" s="15">
        <v>8</v>
      </c>
      <c r="B10" s="17" t="s">
        <v>78</v>
      </c>
      <c r="C10" s="17" t="s">
        <v>86</v>
      </c>
      <c r="D10" s="15"/>
      <c r="E10" t="s">
        <v>114</v>
      </c>
    </row>
    <row r="11" spans="1:9">
      <c r="A11" s="15">
        <v>9</v>
      </c>
      <c r="B11" s="17" t="s">
        <v>78</v>
      </c>
      <c r="C11" s="17" t="s">
        <v>88</v>
      </c>
      <c r="D11" s="15"/>
    </row>
    <row r="12" spans="1:9">
      <c r="A12" s="16">
        <v>10</v>
      </c>
      <c r="B12" s="18" t="s">
        <v>78</v>
      </c>
      <c r="C12" s="18" t="s">
        <v>87</v>
      </c>
      <c r="D12" s="16"/>
      <c r="E12" t="s">
        <v>155</v>
      </c>
    </row>
    <row r="13" spans="1:9">
      <c r="A13" s="15">
        <v>11</v>
      </c>
      <c r="B13" s="17" t="s">
        <v>78</v>
      </c>
      <c r="C13" s="17" t="s">
        <v>91</v>
      </c>
      <c r="D13" s="15"/>
      <c r="E13" t="s">
        <v>147</v>
      </c>
    </row>
    <row r="14" spans="1:9">
      <c r="A14" s="15">
        <v>12</v>
      </c>
      <c r="B14" s="17" t="s">
        <v>78</v>
      </c>
      <c r="C14" s="17" t="s">
        <v>89</v>
      </c>
      <c r="D14" s="15"/>
      <c r="E14" t="s">
        <v>148</v>
      </c>
    </row>
    <row r="15" spans="1:9">
      <c r="A15" s="15">
        <v>13</v>
      </c>
      <c r="B15" s="17" t="s">
        <v>103</v>
      </c>
      <c r="C15" s="17" t="s">
        <v>104</v>
      </c>
      <c r="D15" s="15"/>
      <c r="E15" t="s">
        <v>149</v>
      </c>
    </row>
    <row r="16" spans="1:9">
      <c r="A16" s="15">
        <v>14</v>
      </c>
      <c r="B16" s="17" t="s">
        <v>78</v>
      </c>
      <c r="C16" s="17" t="s">
        <v>105</v>
      </c>
      <c r="D16" s="15"/>
      <c r="E16" t="s">
        <v>156</v>
      </c>
    </row>
    <row r="17" spans="1:5">
      <c r="A17" s="15">
        <v>15</v>
      </c>
      <c r="B17" s="17" t="s">
        <v>78</v>
      </c>
      <c r="C17" s="17" t="s">
        <v>106</v>
      </c>
      <c r="D17" s="15"/>
      <c r="E17" t="s">
        <v>157</v>
      </c>
    </row>
    <row r="18" spans="1:5">
      <c r="A18" s="15">
        <v>16</v>
      </c>
      <c r="B18" s="17" t="s">
        <v>78</v>
      </c>
      <c r="C18" s="17" t="s">
        <v>94</v>
      </c>
      <c r="D18" s="15"/>
      <c r="E18" t="s">
        <v>158</v>
      </c>
    </row>
    <row r="19" spans="1:5">
      <c r="A19" s="15">
        <v>17</v>
      </c>
      <c r="B19" s="17" t="s">
        <v>78</v>
      </c>
      <c r="C19" s="17" t="s">
        <v>90</v>
      </c>
      <c r="D19" s="15"/>
      <c r="E19" t="s">
        <v>159</v>
      </c>
    </row>
    <row r="20" spans="1:5">
      <c r="A20" s="15">
        <v>18</v>
      </c>
      <c r="B20" s="17" t="s">
        <v>78</v>
      </c>
      <c r="C20" s="17" t="s">
        <v>93</v>
      </c>
      <c r="D20" s="15"/>
      <c r="E20" t="s">
        <v>160</v>
      </c>
    </row>
    <row r="21" spans="1:5">
      <c r="A21" s="15">
        <v>19</v>
      </c>
      <c r="B21" s="17" t="s">
        <v>107</v>
      </c>
      <c r="C21" s="17" t="s">
        <v>108</v>
      </c>
      <c r="D21" s="15"/>
      <c r="E21" t="s">
        <v>151</v>
      </c>
    </row>
    <row r="22" spans="1:5">
      <c r="A22" s="16">
        <v>20</v>
      </c>
      <c r="B22" s="18" t="s">
        <v>103</v>
      </c>
      <c r="C22" s="18" t="s">
        <v>109</v>
      </c>
      <c r="D22" s="16"/>
      <c r="E22" t="s">
        <v>114</v>
      </c>
    </row>
    <row r="23" spans="1:5">
      <c r="A23" s="15">
        <v>21</v>
      </c>
      <c r="B23" s="17" t="s">
        <v>78</v>
      </c>
      <c r="C23" s="17" t="s">
        <v>100</v>
      </c>
      <c r="D23" s="15"/>
    </row>
    <row r="24" spans="1:5">
      <c r="A24" s="15">
        <v>22</v>
      </c>
      <c r="B24" s="17" t="s">
        <v>78</v>
      </c>
      <c r="C24" s="17" t="s">
        <v>95</v>
      </c>
      <c r="D24" s="15"/>
      <c r="E24" t="s">
        <v>161</v>
      </c>
    </row>
    <row r="25" spans="1:5">
      <c r="A25" s="15">
        <v>23</v>
      </c>
      <c r="B25" s="17" t="s">
        <v>78</v>
      </c>
      <c r="C25" s="17" t="s">
        <v>96</v>
      </c>
      <c r="D25" s="15"/>
      <c r="E25" t="s">
        <v>162</v>
      </c>
    </row>
    <row r="26" spans="1:5">
      <c r="E26" t="s">
        <v>123</v>
      </c>
    </row>
    <row r="27" spans="1:5">
      <c r="E27" t="s">
        <v>163</v>
      </c>
    </row>
    <row r="28" spans="1:5">
      <c r="E28" t="s">
        <v>164</v>
      </c>
    </row>
    <row r="29" spans="1:5">
      <c r="E29" t="s">
        <v>165</v>
      </c>
    </row>
    <row r="31" spans="1:5">
      <c r="E31" t="s">
        <v>114</v>
      </c>
    </row>
  </sheetData>
  <mergeCells count="4">
    <mergeCell ref="D1:D2"/>
    <mergeCell ref="A1:A2"/>
    <mergeCell ref="B1:B2"/>
    <mergeCell ref="C1:C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Sheet1</vt:lpstr>
      <vt:lpstr>Sheet2</vt:lpstr>
      <vt:lpstr>Sheet5</vt:lpstr>
      <vt:lpstr>Sheet3</vt:lpstr>
      <vt:lpstr>Sheet4</vt:lpstr>
      <vt:lpstr>Sheet6</vt:lpstr>
    </vt:vector>
  </TitlesOfParts>
  <Company>HP</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Neeraj Appari</dc:creator>
  <cp:lastModifiedBy>Neeraj Appari</cp:lastModifiedBy>
  <cp:lastPrinted>2023-12-22T18:58:23Z</cp:lastPrinted>
  <dcterms:created xsi:type="dcterms:W3CDTF">2023-12-22T18:39:38Z</dcterms:created>
  <dcterms:modified xsi:type="dcterms:W3CDTF">2024-06-08T08:41:50Z</dcterms:modified>
</cp:coreProperties>
</file>